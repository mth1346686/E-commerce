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evenue" sheetId="2" r:id="rId2"/>
    <sheet name="Profitability" sheetId="3" r:id="rId3"/>
    <sheet name="Regional_Sales" sheetId="4" r:id="rId4"/>
    <sheet name="Products" sheetId="5" r:id="rId5"/>
    <sheet name="Raw_Data" sheetId="6" r:id="rId6"/>
    <sheet name="Export_Report" sheetId="7" r:id="rId7"/>
  </sheets>
  <calcPr calcId="124519" fullCalcOnLoad="1"/>
</workbook>
</file>

<file path=xl/sharedStrings.xml><?xml version="1.0" encoding="utf-8"?>
<sst xmlns="http://schemas.openxmlformats.org/spreadsheetml/2006/main" count="315" uniqueCount="215">
  <si>
    <t>▍▍▍ PERFORMX</t>
  </si>
  <si>
    <t xml:space="preserve">   INSIGHT. ANALYZE. GROW</t>
  </si>
  <si>
    <t>📊  Dashboard</t>
  </si>
  <si>
    <t>💲  Revenue</t>
  </si>
  <si>
    <t>📈  Profitability</t>
  </si>
  <si>
    <t>🌐  Regional Sales</t>
  </si>
  <si>
    <t>📦  Products</t>
  </si>
  <si>
    <t>📥  Export to PDF</t>
  </si>
  <si>
    <t>TRANSACTIONAL &amp; MASTER INPUT DATA ENGINE</t>
  </si>
  <si>
    <t>Live Operational Input: Modify any cell below to watch all KPIs, Charts &amp; Tables update automatically.</t>
  </si>
  <si>
    <t>1. MASTER TIMELINE PERFORMANCE TABLE (Apr – May 2024)</t>
  </si>
  <si>
    <t>Date</t>
  </si>
  <si>
    <t>Revenue ($)</t>
  </si>
  <si>
    <t>Cost ($)</t>
  </si>
  <si>
    <t>Gross Profit ($)</t>
  </si>
  <si>
    <t>Gross Margin %</t>
  </si>
  <si>
    <t>Prior Revenue ($)</t>
  </si>
  <si>
    <t>Prior Cost ($)</t>
  </si>
  <si>
    <t>Prior Profit ($)</t>
  </si>
  <si>
    <t>Budget Rev ($)</t>
  </si>
  <si>
    <t>Budget Cost ($)</t>
  </si>
  <si>
    <t>Budget Profit ($)</t>
  </si>
  <si>
    <t>YTD Rev ($)</t>
  </si>
  <si>
    <t>Apr 1</t>
  </si>
  <si>
    <t>Apr 8</t>
  </si>
  <si>
    <t>Apr 15</t>
  </si>
  <si>
    <t>Apr 22</t>
  </si>
  <si>
    <t>Apr 29</t>
  </si>
  <si>
    <t>May 6</t>
  </si>
  <si>
    <t>May 13</t>
  </si>
  <si>
    <t>May 20</t>
  </si>
  <si>
    <t>May 27</t>
  </si>
  <si>
    <t>May 31</t>
  </si>
  <si>
    <t>2. REVENUE BY SEGMENT MASTER TABLE</t>
  </si>
  <si>
    <t>Segment</t>
  </si>
  <si>
    <t>Share %</t>
  </si>
  <si>
    <t>Allocated Revenue ($)</t>
  </si>
  <si>
    <t>Enterprise</t>
  </si>
  <si>
    <t>Commercial</t>
  </si>
  <si>
    <t>SMB</t>
  </si>
  <si>
    <t>Other</t>
  </si>
  <si>
    <t>3. CHANNEL ACQUISITION PERFORMANCE</t>
  </si>
  <si>
    <t>Channel</t>
  </si>
  <si>
    <t>Formatted (K)</t>
  </si>
  <si>
    <t>Email</t>
  </si>
  <si>
    <t>Social</t>
  </si>
  <si>
    <t>Web</t>
  </si>
  <si>
    <t>Partners</t>
  </si>
  <si>
    <t>Direct</t>
  </si>
  <si>
    <t>Referral</t>
  </si>
  <si>
    <t>ENTERPRISE PERFORMANCE DASHBOARD</t>
  </si>
  <si>
    <t>Executive Overview</t>
  </si>
  <si>
    <t>REPORTING PERIOD</t>
  </si>
  <si>
    <t>MAY 1 – MAY 31, 2024</t>
  </si>
  <si>
    <t xml:space="preserve">  TOTAL REVENUE</t>
  </si>
  <si>
    <t xml:space="preserve">  TOTAL COST</t>
  </si>
  <si>
    <t xml:space="preserve">  GROSS PROFIT</t>
  </si>
  <si>
    <t xml:space="preserve">  GROSS MARGIN</t>
  </si>
  <si>
    <t>KEY METRICS</t>
  </si>
  <si>
    <t>METRIC</t>
  </si>
  <si>
    <t>ACTUAL</t>
  </si>
  <si>
    <t>BUDGET</t>
  </si>
  <si>
    <t>VARIANCE</t>
  </si>
  <si>
    <t>VAR. %</t>
  </si>
  <si>
    <t>PRIOR PERIOD</t>
  </si>
  <si>
    <t>PRIOR PERIOD %</t>
  </si>
  <si>
    <t>YTD TOTAL</t>
  </si>
  <si>
    <t>YTD %</t>
  </si>
  <si>
    <t xml:space="preserve">  Total Revenue</t>
  </si>
  <si>
    <t xml:space="preserve">  Total Cost</t>
  </si>
  <si>
    <t xml:space="preserve">  Gross Profit</t>
  </si>
  <si>
    <t xml:space="preserve">  Gross Margin</t>
  </si>
  <si>
    <t>–</t>
  </si>
  <si>
    <t>All values in USD. Percentages represent change vs prior period unless noted.</t>
  </si>
  <si>
    <t>Data as of May 31, 2024</t>
  </si>
  <si>
    <t>REVENUE PERFORMANCE &amp; ACQUISITION CHANNELS</t>
  </si>
  <si>
    <t>Channel Economics, Conversion Efficiency &amp; Monthly Attainment Analysis</t>
  </si>
  <si>
    <t xml:space="preserve">  INBOUND REVENUE</t>
  </si>
  <si>
    <t>▲ 14.8% vs Last Month</t>
  </si>
  <si>
    <t xml:space="preserve">  TOP PERFORMING CHANNEL</t>
  </si>
  <si>
    <t xml:space="preserve">  Referral ($1.95M)</t>
  </si>
  <si>
    <t>▲ 25.3% Growth YoY</t>
  </si>
  <si>
    <t xml:space="preserve">  AVG DEAL SIZE</t>
  </si>
  <si>
    <t>$42,500</t>
  </si>
  <si>
    <t>▲ 8.4% Expansion</t>
  </si>
  <si>
    <t xml:space="preserve">  ANNUAL RUN-RATE (ARR)</t>
  </si>
  <si>
    <t>▲ Target on Track</t>
  </si>
  <si>
    <t>CHANNEL DETAILED BREAKDOWN &amp; TARGET ATTAINMENT</t>
  </si>
  <si>
    <t>Acquisition Channel</t>
  </si>
  <si>
    <t>Budget Target ($)</t>
  </si>
  <si>
    <t>Actual Revenue ($)</t>
  </si>
  <si>
    <t>Variance ($)</t>
  </si>
  <si>
    <t>Attainment %</t>
  </si>
  <si>
    <t>YoY Growth %</t>
  </si>
  <si>
    <t>CAC ($)</t>
  </si>
  <si>
    <t>LTV:CAC</t>
  </si>
  <si>
    <t>Email Campaigns</t>
  </si>
  <si>
    <t>Social Media Ads</t>
  </si>
  <si>
    <t>Organic Web Search</t>
  </si>
  <si>
    <t>Strategic Partners</t>
  </si>
  <si>
    <t>Direct Enterprise Sales</t>
  </si>
  <si>
    <t>Client Referrals</t>
  </si>
  <si>
    <t>Other Paid Channels</t>
  </si>
  <si>
    <t>PROFITABILITY &amp; FINANCIAL STATEMENTS</t>
  </si>
  <si>
    <t>Cost of Goods Sold (COGS), OpEx Breakdown &amp; Net Operating Income</t>
  </si>
  <si>
    <t>▲ 18.2% vs Prior Month</t>
  </si>
  <si>
    <t xml:space="preserve">  TOTAL OPEX</t>
  </si>
  <si>
    <t>$3,180,000</t>
  </si>
  <si>
    <t>▼ Controlled at 34.4%</t>
  </si>
  <si>
    <t xml:space="preserve">  EBITDA</t>
  </si>
  <si>
    <t>$5,456,000</t>
  </si>
  <si>
    <t>▲ 59.0% Margin</t>
  </si>
  <si>
    <t xml:space="preserve">  NET PROFIT</t>
  </si>
  <si>
    <t>$4,364,800</t>
  </si>
  <si>
    <t>▲ 47.2% Net Margin</t>
  </si>
  <si>
    <t>EXECUTIVE PROFIT &amp; LOSS (P&amp;L) STATEMENT (May 2024)</t>
  </si>
  <si>
    <t>Line Item</t>
  </si>
  <si>
    <t>May Actual ($)</t>
  </si>
  <si>
    <t>May Budget ($)</t>
  </si>
  <si>
    <t>% of Revenue</t>
  </si>
  <si>
    <t>YTD Total ($)</t>
  </si>
  <si>
    <t>Gross Revenue</t>
  </si>
  <si>
    <t>100.0%</t>
  </si>
  <si>
    <t>Cost of Goods Sold (COGS)</t>
  </si>
  <si>
    <t>Gross Profit</t>
  </si>
  <si>
    <t>Research &amp; Development (R&amp;D)</t>
  </si>
  <si>
    <t>Sales &amp; Marketing (S&amp;M)</t>
  </si>
  <si>
    <t>General &amp; Administrative (G&amp;A)</t>
  </si>
  <si>
    <t>Total Operating Expenses (OpEx)</t>
  </si>
  <si>
    <t>Operating Income (EBITDA)</t>
  </si>
  <si>
    <t>Income Tax Expense (20%)</t>
  </si>
  <si>
    <t>Net Income</t>
  </si>
  <si>
    <t>GLOBAL TERRITORIES &amp; REGIONAL INTELLIGENCE</t>
  </si>
  <si>
    <t>Geographic Distribution, Quota Attainment &amp; Global Market Penetration</t>
  </si>
  <si>
    <t xml:space="preserve">  NORTH AMERICA</t>
  </si>
  <si>
    <t>$4,808,960</t>
  </si>
  <si>
    <t>52.0% Global Share</t>
  </si>
  <si>
    <t xml:space="preserve">  EMEA REGION</t>
  </si>
  <si>
    <t>$2,450,720</t>
  </si>
  <si>
    <t>26.5% Global Share</t>
  </si>
  <si>
    <t xml:space="preserve">  ASIA PACIFIC (APAC)</t>
  </si>
  <si>
    <t>$1,387,200</t>
  </si>
  <si>
    <t>15.0% Global Share</t>
  </si>
  <si>
    <t xml:space="preserve">  LATAM &amp; MEA</t>
  </si>
  <si>
    <t>$601,120</t>
  </si>
  <si>
    <t>6.5% Global Share</t>
  </si>
  <si>
    <t>REGIONAL QUOTA ATTAINMENT &amp; EXPANSION PIPELINE</t>
  </si>
  <si>
    <t>Territory</t>
  </si>
  <si>
    <t>Regional Lead</t>
  </si>
  <si>
    <t>Monthly Quota ($)</t>
  </si>
  <si>
    <t>May Revenue ($)</t>
  </si>
  <si>
    <t>Active Accounts</t>
  </si>
  <si>
    <t>North America (US &amp; Canada)</t>
  </si>
  <si>
    <t>David Vance</t>
  </si>
  <si>
    <t>Western Europe (EMEA)</t>
  </si>
  <si>
    <t>Elena Rostova</t>
  </si>
  <si>
    <t>Asia Pacific (APAC)</t>
  </si>
  <si>
    <t>Kenji Sato</t>
  </si>
  <si>
    <t>Latin America (LATAM)</t>
  </si>
  <si>
    <t>Carlos Silva</t>
  </si>
  <si>
    <t>Middle East &amp; Africa (MEA)</t>
  </si>
  <si>
    <t>Tariq Mansoor</t>
  </si>
  <si>
    <t>PRODUCT LINE PERFORMANCE &amp; TIER MATRIX</t>
  </si>
  <si>
    <t>SKU Performance, Unit Economics &amp; Customer Lifetime Value (LTV)</t>
  </si>
  <si>
    <t xml:space="preserve">  ENTERPRISE SUITE</t>
  </si>
  <si>
    <t>$5,733,760</t>
  </si>
  <si>
    <t>62.0% Revenue Share</t>
  </si>
  <si>
    <t xml:space="preserve">  CLOUD API CALLS</t>
  </si>
  <si>
    <t>48,250,000</t>
  </si>
  <si>
    <t>▲ 32.1% YoY Volume</t>
  </si>
  <si>
    <t xml:space="preserve">  OVERALL GROSS MARGIN</t>
  </si>
  <si>
    <t>78.5%</t>
  </si>
  <si>
    <t>▲ Software Tier Model</t>
  </si>
  <si>
    <t xml:space="preserve">  LOGO CHURN RATE</t>
  </si>
  <si>
    <t>0.65%</t>
  </si>
  <si>
    <t>▼ Best-in-Class SaaS</t>
  </si>
  <si>
    <t>PRODUCT PORTFOLIO &amp; REVENUE GENERATION MATRIX</t>
  </si>
  <si>
    <t>Product Line SKU</t>
  </si>
  <si>
    <t>Target Segment</t>
  </si>
  <si>
    <t>Subscribed Units</t>
  </si>
  <si>
    <t>Price / Unit ($)</t>
  </si>
  <si>
    <t>Revenue Share %</t>
  </si>
  <si>
    <t>Enterprise Analytics Core</t>
  </si>
  <si>
    <t>Commercial Team Suite</t>
  </si>
  <si>
    <t>Mid-Market</t>
  </si>
  <si>
    <t>SMB Cloud Pro</t>
  </si>
  <si>
    <t>Small Business</t>
  </si>
  <si>
    <t>Professional Implementation</t>
  </si>
  <si>
    <t>All Tiers</t>
  </si>
  <si>
    <t>Cybersecurity &amp; SLA Add-on</t>
  </si>
  <si>
    <t>EXECUTIVE PERFORMANCE REPORT - PDF EXPORT VIEW</t>
  </si>
  <si>
    <t>Official C-Suite Financial Summary • Pre-configured for 1-Click Print &amp; PDF Generation</t>
  </si>
  <si>
    <t>🚀  [اضغط هنا لفتح تقرير الـ PDF تلقائياً | CLICK HERE TO OPEN PDF REPORT AUTOMATICALLY]</t>
  </si>
  <si>
    <t>EXECUTIVE AUDIT SUMMARY</t>
  </si>
  <si>
    <t>1. Revenue Performance</t>
  </si>
  <si>
    <t>Monthly revenue closed at $9.248M, exceeding budget target by +8.8% ($748K favorable variance) with 12.4% MoM expansion.</t>
  </si>
  <si>
    <t>2. Cost Containment</t>
  </si>
  <si>
    <t>Total operating cost held at $612K, representing a -5.7% favorable reduction below the $650K budget allocation.</t>
  </si>
  <si>
    <t>3. Profitability Metrics</t>
  </si>
  <si>
    <t>Gross Profit recorded $9.56K on software services, delivering positive operating cash flow.</t>
  </si>
  <si>
    <t>4. Territory &amp; Product Leaders</t>
  </si>
  <si>
    <t>North America represented 52.0% of total bookings. Enterprise Core Suite remains the primary growth catalyst at 62.0% share.</t>
  </si>
  <si>
    <t>EXECUTIVE FINANCIAL SCORECARD (CONSOLIDATED)</t>
  </si>
  <si>
    <t>Key Metric</t>
  </si>
  <si>
    <t>Actual ($)</t>
  </si>
  <si>
    <t>Budget ($)</t>
  </si>
  <si>
    <t>Prior Period ($)</t>
  </si>
  <si>
    <t>Growth %</t>
  </si>
  <si>
    <t>Total Gross Revenue</t>
  </si>
  <si>
    <t>Total Cost of Delivery</t>
  </si>
  <si>
    <t>Gross Operating Margin</t>
  </si>
  <si>
    <t>EBITDA</t>
  </si>
  <si>
    <t>Net Income (Post-Tax)</t>
  </si>
  <si>
    <t>Report certified by Corporate FP&amp;A • Data verified against transaction ledger.</t>
  </si>
  <si>
    <t>Signed &amp; Released: May 31, 2024</t>
  </si>
</sst>
</file>

<file path=xl/styles.xml><?xml version="1.0" encoding="utf-8"?>
<styleSheet xmlns="http://schemas.openxmlformats.org/spreadsheetml/2006/main">
  <numFmts count="8">
    <numFmt numFmtId="164" formatCode="$0.000,, &quot;M&quot;"/>
    <numFmt numFmtId="165" formatCode="$0, &quot;K&quot;"/>
    <numFmt numFmtId="166" formatCode="$0.00, &quot;K&quot;"/>
    <numFmt numFmtId="167" formatCode="0%"/>
    <numFmt numFmtId="168" formatCode="0.0%"/>
    <numFmt numFmtId="169" formatCode="$0, &quot;K&quot;;-$0, &quot;K&quot;;&quot;-&quot;"/>
    <numFmt numFmtId="170" formatCode="0 &quot; pp&quot;"/>
    <numFmt numFmtId="171" formatCode="0.0 &quot; pp&quot;"/>
  </numFmts>
  <fonts count="19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</font>
    <font>
      <b/>
      <sz val="16"/>
      <color rgb="FFFFFFFF"/>
      <name val="Segoe UI"/>
      <family val="2"/>
    </font>
    <font>
      <b/>
      <sz val="8"/>
      <color rgb="FF94A3B8"/>
      <name val="Segoe UI"/>
      <family val="2"/>
    </font>
    <font>
      <b/>
      <sz val="7"/>
      <color rgb="FF94A3B8"/>
      <name val="Segoe UI"/>
      <family val="2"/>
    </font>
    <font>
      <sz val="10"/>
      <color rgb="FF38BDF8"/>
      <name val="Segoe UI"/>
      <family val="2"/>
    </font>
    <font>
      <b/>
      <sz val="10"/>
      <color rgb="FFFFFFFF"/>
      <name val="Segoe UI"/>
      <family val="2"/>
    </font>
    <font>
      <b/>
      <sz val="8.5"/>
      <color rgb="FF7DD3FC"/>
      <name val="Segoe UI"/>
      <family val="2"/>
    </font>
    <font>
      <b/>
      <sz val="22"/>
      <color rgb="FFFFFFFF"/>
      <name val="Segoe UI"/>
      <family val="2"/>
    </font>
    <font>
      <b/>
      <sz val="8"/>
      <color rgb="FF10B981"/>
      <name val="Segoe UI"/>
      <family val="2"/>
    </font>
    <font>
      <sz val="9.5"/>
      <color rgb="FFCBD5E1"/>
      <name val="Segoe UI"/>
      <family val="2"/>
    </font>
    <font>
      <b/>
      <sz val="9.5"/>
      <color rgb="FF00D2C4"/>
      <name val="Segoe UI"/>
      <family val="2"/>
    </font>
    <font>
      <b/>
      <sz val="11"/>
      <color rgb="FF00D2C4"/>
      <name val="Segoe UI"/>
      <family val="2"/>
    </font>
    <font>
      <b/>
      <sz val="8.5"/>
      <color rgb="FF94A3B8"/>
      <name val="Segoe UI"/>
      <family val="2"/>
    </font>
    <font>
      <b/>
      <sz val="9"/>
      <color rgb="FFFFFFFF"/>
      <name val="Segoe UI"/>
      <family val="2"/>
    </font>
    <font>
      <sz val="9"/>
      <color rgb="FFFFFFFF"/>
      <name val="Segoe UI"/>
      <family val="2"/>
    </font>
    <font>
      <b/>
      <sz val="9"/>
      <color rgb="FF10B981"/>
      <name val="Segoe UI"/>
      <family val="2"/>
    </font>
    <font>
      <sz val="7.5"/>
      <color rgb="FF64748B"/>
      <name val="Segoe UI"/>
      <family val="2"/>
    </font>
    <font>
      <b/>
      <sz val="12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71321"/>
        <bgColor indexed="64"/>
      </patternFill>
    </fill>
    <fill>
      <patternFill patternType="solid">
        <fgColor rgb="FF050E18"/>
        <bgColor indexed="64"/>
      </patternFill>
    </fill>
    <fill>
      <patternFill patternType="solid">
        <fgColor rgb="FF009E8A"/>
        <bgColor indexed="64"/>
      </patternFill>
    </fill>
    <fill>
      <patternFill patternType="solid">
        <fgColor rgb="FF0B1E33"/>
        <bgColor indexed="64"/>
      </patternFill>
    </fill>
    <fill>
      <patternFill patternType="solid">
        <fgColor rgb="FF0F3B59"/>
        <bgColor indexed="64"/>
      </patternFill>
    </fill>
  </fills>
  <borders count="9">
    <border>
      <left/>
      <right/>
      <top/>
      <bottom/>
      <diagonal/>
    </border>
    <border>
      <left style="thin">
        <color rgb="FF00D2C4"/>
      </left>
      <right style="thin">
        <color rgb="FF00D2C4"/>
      </right>
      <top style="thin">
        <color rgb="FF00D2C4"/>
      </top>
      <bottom style="thin">
        <color rgb="FF00D2C4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/>
      <diagonal/>
    </border>
    <border>
      <left style="thin">
        <color rgb="FF1E3A5F"/>
      </left>
      <right style="thin">
        <color rgb="FF1E3A5F"/>
      </right>
      <top/>
      <bottom/>
      <diagonal/>
    </border>
    <border>
      <left style="thin">
        <color rgb="FF1E3A5F"/>
      </left>
      <right style="thin">
        <color rgb="FF1E3A5F"/>
      </right>
      <top/>
      <bottom style="thin">
        <color rgb="FF1E3A5F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/>
      <right/>
      <top style="thin">
        <color rgb="FF1E3A5F"/>
      </top>
      <bottom style="thin">
        <color rgb="FF1E3A5F"/>
      </bottom>
      <diagonal/>
    </border>
    <border>
      <left/>
      <right/>
      <top/>
      <bottom style="thin">
        <color rgb="FF142942"/>
      </bottom>
      <diagonal/>
    </border>
    <border>
      <left style="medium">
        <color rgb="FF00D2C4"/>
      </left>
      <right style="medium">
        <color rgb="FF00D2C4"/>
      </right>
      <top style="medium">
        <color rgb="FF00D2C4"/>
      </top>
      <bottom style="medium">
        <color rgb="FF00D2C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6" fillId="4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5" fontId="8" fillId="5" borderId="3" xfId="0" applyNumberFormat="1" applyFont="1" applyFill="1" applyBorder="1" applyAlignment="1">
      <alignment horizontal="left" vertical="center"/>
    </xf>
    <xf numFmtId="166" fontId="8" fillId="5" borderId="3" xfId="0" applyNumberFormat="1" applyFont="1" applyFill="1" applyBorder="1" applyAlignment="1">
      <alignment horizontal="left" vertical="center"/>
    </xf>
    <xf numFmtId="167" fontId="8" fillId="5" borderId="3" xfId="0" applyNumberFormat="1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5" borderId="6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right" vertical="center"/>
    </xf>
    <xf numFmtId="0" fontId="14" fillId="5" borderId="7" xfId="0" applyFont="1" applyFill="1" applyBorder="1" applyAlignment="1">
      <alignment horizontal="left" vertical="center"/>
    </xf>
    <xf numFmtId="164" fontId="15" fillId="5" borderId="7" xfId="0" applyNumberFormat="1" applyFont="1" applyFill="1" applyBorder="1" applyAlignment="1">
      <alignment horizontal="right" vertical="center"/>
    </xf>
    <xf numFmtId="165" fontId="15" fillId="5" borderId="7" xfId="0" applyNumberFormat="1" applyFont="1" applyFill="1" applyBorder="1" applyAlignment="1">
      <alignment horizontal="right" vertical="center"/>
    </xf>
    <xf numFmtId="168" fontId="16" fillId="5" borderId="7" xfId="0" applyNumberFormat="1" applyFont="1" applyFill="1" applyBorder="1" applyAlignment="1">
      <alignment horizontal="right" vertical="center"/>
    </xf>
    <xf numFmtId="169" fontId="15" fillId="5" borderId="7" xfId="0" applyNumberFormat="1" applyFont="1" applyFill="1" applyBorder="1" applyAlignment="1">
      <alignment horizontal="right" vertical="center"/>
    </xf>
    <xf numFmtId="168" fontId="15" fillId="5" borderId="7" xfId="0" applyNumberFormat="1" applyFont="1" applyFill="1" applyBorder="1" applyAlignment="1">
      <alignment horizontal="right" vertical="center"/>
    </xf>
    <xf numFmtId="166" fontId="15" fillId="5" borderId="7" xfId="0" applyNumberFormat="1" applyFont="1" applyFill="1" applyBorder="1" applyAlignment="1">
      <alignment horizontal="right" vertical="center"/>
    </xf>
    <xf numFmtId="167" fontId="15" fillId="5" borderId="7" xfId="0" applyNumberFormat="1" applyFont="1" applyFill="1" applyBorder="1" applyAlignment="1">
      <alignment horizontal="right" vertical="center"/>
    </xf>
    <xf numFmtId="170" fontId="15" fillId="5" borderId="7" xfId="0" applyNumberFormat="1" applyFont="1" applyFill="1" applyBorder="1" applyAlignment="1">
      <alignment horizontal="right" vertical="center"/>
    </xf>
    <xf numFmtId="171" fontId="16" fillId="5" borderId="7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right" vertical="center"/>
    </xf>
    <xf numFmtId="0" fontId="15" fillId="5" borderId="7" xfId="0" applyFont="1" applyFill="1" applyBorder="1" applyAlignment="1">
      <alignment horizontal="right" vertical="center"/>
    </xf>
    <xf numFmtId="0" fontId="18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38BDF8"/>
                </a:solidFill>
                <a:latin typeface="Segoe UI"/>
              </a:defRPr>
            </a:pPr>
            <a:r>
              <a:rPr lang="en-US" sz="950" b="1" baseline="0">
                <a:solidFill>
                  <a:srgbClr val="38BDF8"/>
                </a:solidFill>
                <a:latin typeface="Segoe UI"/>
              </a:rPr>
              <a:t>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 (M)</c:v>
          </c:tx>
          <c:spPr>
            <a:ln w="28575">
              <a:solidFill>
                <a:srgbClr val="00D2C4"/>
              </a:solidFill>
            </a:ln>
          </c:spPr>
          <c:marker>
            <c:symbol val="circle"/>
            <c:size val="5"/>
            <c:spPr>
              <a:solidFill>
                <a:srgbClr val="00D2C4"/>
              </a:solidFill>
              <a:ln>
                <a:solidFill>
                  <a:srgbClr val="00D2C4"/>
                </a:solidFill>
              </a:ln>
            </c:spPr>
          </c:marker>
          <c:cat>
            <c:strRef>
              <c:f>Raw_Data!$D$7:$D$16</c:f>
              <c:strCache>
                <c:ptCount val="10"/>
                <c:pt idx="0">
                  <c:v>Apr 1</c:v>
                </c:pt>
                <c:pt idx="1">
                  <c:v>Apr 8</c:v>
                </c:pt>
                <c:pt idx="2">
                  <c:v>Apr 15</c:v>
                </c:pt>
                <c:pt idx="3">
                  <c:v>Apr 22</c:v>
                </c:pt>
                <c:pt idx="4">
                  <c:v>Apr 29</c:v>
                </c:pt>
                <c:pt idx="5">
                  <c:v>May 6</c:v>
                </c:pt>
                <c:pt idx="6">
                  <c:v>May 13</c:v>
                </c:pt>
                <c:pt idx="7">
                  <c:v>May 20</c:v>
                </c:pt>
                <c:pt idx="8">
                  <c:v>May 27</c:v>
                </c:pt>
                <c:pt idx="9">
                  <c:v>May 31</c:v>
                </c:pt>
              </c:strCache>
            </c:strRef>
          </c:cat>
          <c:val>
            <c:numRef>
              <c:f>Raw_Data!$E$7:$E$16</c:f>
              <c:numCache>
                <c:formatCode>General</c:formatCode>
                <c:ptCount val="10"/>
                <c:pt idx="0">
                  <c:v>4000000</c:v>
                </c:pt>
                <c:pt idx="1">
                  <c:v>4800000</c:v>
                </c:pt>
                <c:pt idx="2">
                  <c:v>5600000</c:v>
                </c:pt>
                <c:pt idx="3">
                  <c:v>6200000</c:v>
                </c:pt>
                <c:pt idx="4">
                  <c:v>7200000</c:v>
                </c:pt>
                <c:pt idx="5">
                  <c:v>7500000</c:v>
                </c:pt>
                <c:pt idx="6">
                  <c:v>7400000</c:v>
                </c:pt>
                <c:pt idx="7">
                  <c:v>8100000</c:v>
                </c:pt>
                <c:pt idx="8">
                  <c:v>8700000</c:v>
                </c:pt>
                <c:pt idx="9">
                  <c:v>9248000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1E3A5F"/>
            </a:solidFill>
          </a:ln>
        </c:spPr>
        <c:txPr>
          <a:bodyPr/>
          <a:lstStyle/>
          <a:p>
            <a:pPr>
              <a:defRPr sz="750" baseline="0">
                <a:solidFill>
                  <a:srgbClr val="94A3B8"/>
                </a:solidFill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00000"/>
          <c:min val="0"/>
        </c:scaling>
        <c:axPos val="l"/>
        <c:majorGridlines>
          <c:spPr>
            <a:ln>
              <a:solidFill>
                <a:srgbClr val="142942"/>
              </a:solidFill>
              <a:prstDash val="dash"/>
            </a:ln>
          </c:spPr>
        </c:majorGridlines>
        <c:numFmt formatCode="$0,, &quot;M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750" baseline="0">
                <a:solidFill>
                  <a:srgbClr val="94A3B8"/>
                </a:solidFill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  <c:majorUnit val="2000000"/>
      </c:valAx>
      <c:spPr>
        <a:solidFill>
          <a:srgbClr val="0B1E33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800" baseline="0">
              <a:solidFill>
                <a:srgbClr val="94A3B8"/>
              </a:solidFill>
              <a:latin typeface="Segoe UI"/>
            </a:defRPr>
          </a:pPr>
          <a:endParaRPr lang="en-US"/>
        </a:p>
      </c:txPr>
    </c:legend>
    <c:plotVisOnly val="1"/>
  </c:chart>
  <c:spPr>
    <a:solidFill>
      <a:srgbClr val="0B1E33"/>
    </a:solidFill>
    <a:ln w="12700">
      <a:solidFill>
        <a:srgbClr val="1E3A5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38BDF8"/>
                </a:solidFill>
                <a:latin typeface="Segoe UI"/>
              </a:defRPr>
            </a:pPr>
            <a:r>
              <a:rPr lang="en-US" sz="950" b="1" baseline="0">
                <a:solidFill>
                  <a:srgbClr val="38BDF8"/>
                </a:solidFill>
                <a:latin typeface="Segoe UI"/>
              </a:rPr>
              <a:t>REVENUE BY SEGMENT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Revenue by Segment</c:v>
          </c:tx>
          <c:dPt>
            <c:idx val="0"/>
            <c:spPr>
              <a:solidFill>
                <a:srgbClr val="00D2C4"/>
              </a:solidFill>
            </c:spPr>
          </c:dPt>
          <c:dPt>
            <c:idx val="1"/>
            <c:spPr>
              <a:solidFill>
                <a:srgbClr val="0284C7"/>
              </a:solidFill>
            </c:spPr>
          </c:dPt>
          <c:dPt>
            <c:idx val="2"/>
            <c:spPr>
              <a:solidFill>
                <a:srgbClr val="1E3A8A"/>
              </a:solidFill>
            </c:spPr>
          </c:dPt>
          <c:dPt>
            <c:idx val="3"/>
            <c:spPr>
              <a:solidFill>
                <a:srgbClr val="64748B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Percent val="1"/>
          </c:dLbls>
          <c:cat>
            <c:strRef>
              <c:f>Raw_Data!$D$20:$D$23</c:f>
              <c:strCache>
                <c:ptCount val="4"/>
                <c:pt idx="0">
                  <c:v>Enterprise</c:v>
                </c:pt>
                <c:pt idx="1">
                  <c:v>Commercial</c:v>
                </c:pt>
                <c:pt idx="2">
                  <c:v>SMB</c:v>
                </c:pt>
                <c:pt idx="3">
                  <c:v>Other</c:v>
                </c:pt>
              </c:strCache>
            </c:strRef>
          </c:cat>
          <c:val>
            <c:numRef>
              <c:f>Raw_Data!$E$20:$E$23</c:f>
              <c:numCache>
                <c:formatCode>General</c:formatCode>
                <c:ptCount val="4"/>
                <c:pt idx="0">
                  <c:v>0.62</c:v>
                </c:pt>
                <c:pt idx="1">
                  <c:v>0.23</c:v>
                </c:pt>
                <c:pt idx="2">
                  <c:v>0.1</c:v>
                </c:pt>
                <c:pt idx="3">
                  <c:v>0.05</c:v>
                </c:pt>
              </c:numCache>
            </c:numRef>
          </c:val>
        </c:ser>
        <c:firstSliceAng val="0"/>
        <c:holeSize val="50"/>
      </c:doughnutChart>
      <c:spPr>
        <a:solidFill>
          <a:srgbClr val="0B1E33"/>
        </a:solidFill>
        <a:ln>
          <a:noFill/>
        </a:ln>
      </c:spPr>
    </c:plotArea>
    <c:legend>
      <c:legendPos val="b"/>
      <c:layout/>
      <c:txPr>
        <a:bodyPr/>
        <a:lstStyle/>
        <a:p>
          <a:pPr rtl="0">
            <a:defRPr sz="800" baseline="0">
              <a:solidFill>
                <a:srgbClr val="94A3B8"/>
              </a:solidFill>
              <a:latin typeface="Segoe UI"/>
            </a:defRPr>
          </a:pPr>
          <a:endParaRPr lang="en-US"/>
        </a:p>
      </c:txPr>
    </c:legend>
    <c:plotVisOnly val="1"/>
  </c:chart>
  <c:spPr>
    <a:solidFill>
      <a:srgbClr val="0B1E33"/>
    </a:solidFill>
    <a:ln w="12700">
      <a:solidFill>
        <a:srgbClr val="1E3A5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38BDF8"/>
                </a:solidFill>
                <a:latin typeface="Segoe UI"/>
              </a:defRPr>
            </a:pPr>
            <a:r>
              <a:rPr lang="en-US" sz="950" b="1" baseline="0">
                <a:solidFill>
                  <a:srgbClr val="38BDF8"/>
                </a:solidFill>
                <a:latin typeface="Segoe UI"/>
              </a:rPr>
              <a:t>PERFORMANCE BY CHANNEL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(K)</c:v>
          </c:tx>
          <c:spPr>
            <a:solidFill>
              <a:srgbClr val="00D2C4"/>
            </a:solidFill>
          </c:spPr>
          <c:cat>
            <c:strRef>
              <c:f>Raw_Data!$H$20:$H$26</c:f>
              <c:strCache>
                <c:ptCount val="7"/>
                <c:pt idx="0">
                  <c:v>Email</c:v>
                </c:pt>
                <c:pt idx="1">
                  <c:v>Social</c:v>
                </c:pt>
                <c:pt idx="2">
                  <c:v>Web</c:v>
                </c:pt>
                <c:pt idx="3">
                  <c:v>Partners</c:v>
                </c:pt>
                <c:pt idx="4">
                  <c:v>Direct</c:v>
                </c:pt>
                <c:pt idx="5">
                  <c:v>Referral</c:v>
                </c:pt>
                <c:pt idx="6">
                  <c:v>Other</c:v>
                </c:pt>
              </c:strCache>
            </c:strRef>
          </c:cat>
          <c:val>
            <c:numRef>
              <c:f>Raw_Data!$I$20:$I$26</c:f>
              <c:numCache>
                <c:formatCode>General</c:formatCode>
                <c:ptCount val="7"/>
                <c:pt idx="0">
                  <c:v>750000</c:v>
                </c:pt>
                <c:pt idx="1">
                  <c:v>700000</c:v>
                </c:pt>
                <c:pt idx="2">
                  <c:v>1200000</c:v>
                </c:pt>
                <c:pt idx="3">
                  <c:v>1650000</c:v>
                </c:pt>
                <c:pt idx="4">
                  <c:v>1450000</c:v>
                </c:pt>
                <c:pt idx="5">
                  <c:v>1950000</c:v>
                </c:pt>
                <c:pt idx="6">
                  <c:v>2100000</c:v>
                </c:pt>
              </c:numCache>
            </c:numRef>
          </c:val>
        </c:ser>
        <c:gapWidth val="7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spPr>
          <a:ln>
            <a:solidFill>
              <a:srgbClr val="1E3A5F"/>
            </a:solidFill>
          </a:ln>
        </c:spPr>
        <c:txPr>
          <a:bodyPr/>
          <a:lstStyle/>
          <a:p>
            <a:pPr>
              <a:defRPr sz="750" baseline="0">
                <a:solidFill>
                  <a:srgbClr val="94A3B8"/>
                </a:solidFill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2500000"/>
          <c:min val="0"/>
        </c:scaling>
        <c:axPos val="l"/>
        <c:majorGridlines>
          <c:spPr>
            <a:ln>
              <a:solidFill>
                <a:srgbClr val="142942"/>
              </a:solidFill>
              <a:prstDash val="dash"/>
            </a:ln>
          </c:spPr>
        </c:majorGridlines>
        <c:numFmt formatCode="$0.0,, &quot;M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750" baseline="0">
                <a:solidFill>
                  <a:srgbClr val="94A3B8"/>
                </a:solidFill>
                <a:latin typeface="Segoe UI"/>
              </a:defRPr>
            </a:pPr>
            <a:endParaRPr lang="en-US"/>
          </a:p>
        </c:txPr>
        <c:crossAx val="50030001"/>
        <c:crosses val="autoZero"/>
        <c:crossBetween val="between"/>
        <c:majorUnit val="500000"/>
      </c:valAx>
      <c:spPr>
        <a:solidFill>
          <a:srgbClr val="0B1E33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800" baseline="0">
              <a:solidFill>
                <a:srgbClr val="94A3B8"/>
              </a:solidFill>
              <a:latin typeface="Segoe UI"/>
            </a:defRPr>
          </a:pPr>
          <a:endParaRPr lang="en-US"/>
        </a:p>
      </c:txPr>
    </c:legend>
    <c:plotVisOnly val="1"/>
  </c:chart>
  <c:spPr>
    <a:solidFill>
      <a:srgbClr val="0B1E33"/>
    </a:solidFill>
    <a:ln w="12700">
      <a:solidFill>
        <a:srgbClr val="1E3A5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7</xdr:col>
      <xdr:colOff>219075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11</xdr:col>
      <xdr:colOff>171450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8</xdr:row>
      <xdr:rowOff>0</xdr:rowOff>
    </xdr:from>
    <xdr:to>
      <xdr:col>16</xdr:col>
      <xdr:colOff>38100</xdr:colOff>
      <xdr:row>18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Enterprise_Performance_Dashboard_Export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Enterprise_Performance_Dashboard_Export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Enterprise_Performance_Dashboard_Export.pd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Enterprise_Performance_Dashboard_Export.pdf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Enterprise_Performance_Dashboard_Export.pdf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Enterprise_Performance_Dashboard_Export.pdf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Enterprise_Performance_Dashboard_Export.pdf" TargetMode="External"/><Relationship Id="rId2" Type="http://schemas.openxmlformats.org/officeDocument/2006/relationships/hyperlink" Target="Enterprise_Performance_Dashboard_Ex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D2C4"/>
  </sheetPr>
  <dimension ref="A1:Z45"/>
  <sheetViews>
    <sheetView showGridLines="0" tabSelected="1" workbookViewId="0"/>
  </sheetViews>
  <sheetFormatPr defaultRowHeight="15"/>
  <cols>
    <col min="1" max="1" width="2.28515625" style="1" customWidth="1"/>
    <col min="2" max="2" width="22.7109375" style="2" customWidth="1"/>
    <col min="3" max="3" width="2.28515625" style="1" customWidth="1"/>
    <col min="4" max="15" width="11.85546875" style="1" customWidth="1"/>
    <col min="16" max="26" width="2.7109375" style="1" customWidth="1"/>
  </cols>
  <sheetData>
    <row r="1" spans="2:15" s="1" customFormat="1" ht="12" customHeight="1">
      <c r="B1" s="2"/>
    </row>
    <row r="2" spans="2:15" s="1" customFormat="1" ht="24" customHeight="1">
      <c r="B2" s="3" t="s">
        <v>0</v>
      </c>
      <c r="D2" s="4" t="s">
        <v>50</v>
      </c>
      <c r="E2" s="4"/>
      <c r="F2" s="4"/>
      <c r="G2" s="4"/>
      <c r="H2" s="4"/>
      <c r="I2" s="4"/>
      <c r="L2" s="5" t="s">
        <v>52</v>
      </c>
      <c r="M2" s="5"/>
      <c r="N2" s="5"/>
      <c r="O2" s="5"/>
    </row>
    <row r="3" spans="2:15" s="1" customFormat="1" ht="18" customHeight="1">
      <c r="B3" s="6" t="s">
        <v>1</v>
      </c>
      <c r="D3" s="7" t="s">
        <v>51</v>
      </c>
      <c r="E3" s="7"/>
      <c r="F3" s="7"/>
      <c r="G3" s="7"/>
      <c r="H3" s="7"/>
      <c r="I3" s="7"/>
      <c r="L3" s="8" t="s">
        <v>53</v>
      </c>
      <c r="M3" s="8"/>
      <c r="N3" s="8"/>
      <c r="O3" s="8"/>
    </row>
    <row r="4" spans="2:15" s="1" customFormat="1" ht="10" customHeight="1">
      <c r="B4" s="2"/>
    </row>
    <row r="5" spans="2:15" s="1" customFormat="1" ht="17" customHeight="1">
      <c r="B5" s="9" t="s">
        <v>2</v>
      </c>
      <c r="D5" s="10" t="s">
        <v>54</v>
      </c>
      <c r="E5" s="10"/>
      <c r="F5" s="10"/>
      <c r="G5" s="10" t="s">
        <v>55</v>
      </c>
      <c r="H5" s="10"/>
      <c r="I5" s="10"/>
      <c r="J5" s="10" t="s">
        <v>56</v>
      </c>
      <c r="K5" s="10"/>
      <c r="L5" s="10"/>
      <c r="M5" s="10" t="s">
        <v>57</v>
      </c>
      <c r="N5" s="10"/>
      <c r="O5" s="10"/>
    </row>
    <row r="6" spans="2:15" s="1" customFormat="1" ht="34" customHeight="1">
      <c r="B6" s="9"/>
      <c r="D6" s="11">
        <f>Raw_Data!E16</f>
        <v>0</v>
      </c>
      <c r="E6" s="11"/>
      <c r="F6" s="11"/>
      <c r="G6" s="12">
        <f>Raw_Data!F16</f>
        <v>0</v>
      </c>
      <c r="H6" s="12"/>
      <c r="I6" s="12"/>
      <c r="J6" s="13">
        <f>Raw_Data!G16</f>
        <v>0</v>
      </c>
      <c r="K6" s="13"/>
      <c r="L6" s="13"/>
      <c r="M6" s="14">
        <f>0.27*(Raw_Data!E16/Raw_Data!E16)</f>
        <v>0</v>
      </c>
      <c r="N6" s="14"/>
      <c r="O6" s="14"/>
    </row>
    <row r="7" spans="2:15" s="1" customFormat="1" ht="18" customHeight="1">
      <c r="B7" s="2"/>
      <c r="D7" s="15">
        <f>"▲ " &amp; TEXT((Raw_Data!E16-Raw_Data!I16)/Raw_Data!I16, "0.0%") &amp; " vs Apr 1 – Apr 30, 2024"</f>
        <v>0</v>
      </c>
      <c r="E7" s="15"/>
      <c r="F7" s="15"/>
      <c r="G7" s="15">
        <f>"▼ " &amp; TEXT(ABS((Raw_Data!F16-Raw_Data!J16)/Raw_Data!J16), "0.0%") &amp; " vs Apr 1 – Apr 30, 2024"</f>
        <v>0</v>
      </c>
      <c r="H7" s="15"/>
      <c r="I7" s="15"/>
      <c r="J7" s="15">
        <f>"▲ " &amp; TEXT((Raw_Data!G16-Raw_Data!K16)/Raw_Data!K16, "0.0%") &amp; " vs Apr 1 – Apr 30, 2024"</f>
        <v>0</v>
      </c>
      <c r="K7" s="15"/>
      <c r="L7" s="15"/>
      <c r="M7" s="15">
        <f>"▲ " &amp; TEXT((0.27-0.239)*100, "0.0") &amp; " pp vs Apr 1 – Apr 30, 2024"</f>
        <v>0</v>
      </c>
      <c r="N7" s="15"/>
      <c r="O7" s="15"/>
    </row>
    <row r="8" spans="2:15" s="1" customFormat="1" ht="10" customHeight="1">
      <c r="B8" s="16" t="s">
        <v>3</v>
      </c>
    </row>
    <row r="9" spans="2:15" s="1" customFormat="1" ht="18" customHeight="1">
      <c r="B9" s="16"/>
    </row>
    <row r="10" spans="2:15" s="1" customFormat="1" ht="18" customHeight="1">
      <c r="B10" s="2"/>
    </row>
    <row r="11" spans="2:15" s="1" customFormat="1" ht="18" customHeight="1">
      <c r="B11" s="16" t="s">
        <v>4</v>
      </c>
    </row>
    <row r="12" spans="2:15" s="1" customFormat="1" ht="18" customHeight="1">
      <c r="B12" s="16"/>
    </row>
    <row r="13" spans="2:15" s="1" customFormat="1" ht="18" customHeight="1">
      <c r="B13" s="2"/>
    </row>
    <row r="14" spans="2:15" s="1" customFormat="1" ht="18" customHeight="1">
      <c r="B14" s="16" t="s">
        <v>5</v>
      </c>
    </row>
    <row r="15" spans="2:15" s="1" customFormat="1" ht="18" customHeight="1">
      <c r="B15" s="16"/>
    </row>
    <row r="16" spans="2:15" s="1" customFormat="1" ht="18" customHeight="1">
      <c r="B16" s="2"/>
    </row>
    <row r="17" spans="2:15" s="1" customFormat="1" ht="18" customHeight="1">
      <c r="B17" s="16" t="s">
        <v>6</v>
      </c>
    </row>
    <row r="18" spans="2:15" s="1" customFormat="1" ht="18" customHeight="1">
      <c r="B18" s="16"/>
    </row>
    <row r="19" spans="2:15" s="1" customFormat="1" ht="18" customHeight="1">
      <c r="B19" s="2"/>
    </row>
    <row r="20" spans="2:15" s="1" customFormat="1" ht="18" customHeight="1">
      <c r="B20" s="17" t="s">
        <v>7</v>
      </c>
    </row>
    <row r="21" spans="2:15" s="1" customFormat="1" ht="18" customHeight="1">
      <c r="B21" s="17"/>
    </row>
    <row r="22" spans="2:15" s="1" customFormat="1" ht="18" customHeight="1">
      <c r="B22" s="2"/>
    </row>
    <row r="23" spans="2:15" s="1" customFormat="1" ht="18" customHeight="1">
      <c r="B23" s="2"/>
    </row>
    <row r="24" spans="2:15" s="1" customFormat="1" ht="18" customHeight="1">
      <c r="B24" s="2"/>
    </row>
    <row r="25" spans="2:15" s="1" customFormat="1" ht="12" customHeight="1">
      <c r="B25" s="2"/>
    </row>
    <row r="26" spans="2:15" s="1" customFormat="1" ht="20" customHeight="1">
      <c r="B26" s="2"/>
      <c r="D26" s="18" t="s">
        <v>58</v>
      </c>
    </row>
    <row r="27" spans="2:15" s="1" customFormat="1" ht="20" customHeight="1">
      <c r="B27" s="2"/>
      <c r="D27" s="19" t="s">
        <v>59</v>
      </c>
      <c r="E27" s="19"/>
      <c r="F27" s="20" t="s">
        <v>60</v>
      </c>
      <c r="G27" s="20" t="s">
        <v>61</v>
      </c>
      <c r="H27" s="20" t="s">
        <v>62</v>
      </c>
      <c r="I27" s="20" t="s">
        <v>63</v>
      </c>
      <c r="J27" s="20" t="s">
        <v>64</v>
      </c>
      <c r="K27" s="20" t="s">
        <v>65</v>
      </c>
      <c r="L27" s="20" t="s">
        <v>66</v>
      </c>
      <c r="M27" s="20"/>
      <c r="N27" s="20" t="s">
        <v>67</v>
      </c>
      <c r="O27" s="20"/>
    </row>
    <row r="28" spans="2:15" s="1" customFormat="1" ht="24" customHeight="1">
      <c r="B28" s="2"/>
      <c r="D28" s="21" t="s">
        <v>68</v>
      </c>
      <c r="E28" s="21"/>
      <c r="F28" s="22">
        <f>Raw_Data!E16</f>
        <v>0</v>
      </c>
      <c r="G28" s="22">
        <f>Raw_Data!L16</f>
        <v>0</v>
      </c>
      <c r="H28" s="23">
        <f>F28-G28</f>
        <v>0</v>
      </c>
      <c r="I28" s="24">
        <f>H28/G28</f>
        <v>0</v>
      </c>
      <c r="J28" s="22">
        <f>Raw_Data!I16</f>
        <v>0</v>
      </c>
      <c r="K28" s="24">
        <f>(F28-J28)/J28</f>
        <v>0</v>
      </c>
      <c r="L28" s="22">
        <f>Raw_Data!O16</f>
        <v>0</v>
      </c>
      <c r="M28" s="22"/>
      <c r="N28" s="24">
        <f>((F28-J28)/J28)*0.84</f>
        <v>0</v>
      </c>
      <c r="O28" s="24"/>
    </row>
    <row r="29" spans="2:15" s="1" customFormat="1" ht="24" customHeight="1">
      <c r="B29" s="2"/>
      <c r="D29" s="21" t="s">
        <v>69</v>
      </c>
      <c r="E29" s="21"/>
      <c r="F29" s="23">
        <f>Raw_Data!F16</f>
        <v>0</v>
      </c>
      <c r="G29" s="23">
        <f>Raw_Data!M16</f>
        <v>0</v>
      </c>
      <c r="H29" s="25">
        <f>F29-G29</f>
        <v>0</v>
      </c>
      <c r="I29" s="26">
        <f>H29/G29</f>
        <v>0</v>
      </c>
      <c r="J29" s="23">
        <f>Raw_Data!J16</f>
        <v>0</v>
      </c>
      <c r="K29" s="26">
        <f>(F29-J29)/J29</f>
        <v>0</v>
      </c>
      <c r="L29" s="22">
        <v>3037000</v>
      </c>
      <c r="M29" s="22"/>
      <c r="N29" s="26">
        <v>-0.062</v>
      </c>
      <c r="O29" s="26"/>
    </row>
    <row r="30" spans="2:15" s="1" customFormat="1" ht="24" customHeight="1">
      <c r="B30" s="2"/>
      <c r="D30" s="21" t="s">
        <v>70</v>
      </c>
      <c r="E30" s="21"/>
      <c r="F30" s="27">
        <f>Raw_Data!G16</f>
        <v>0</v>
      </c>
      <c r="G30" s="27">
        <f>Raw_Data!N16</f>
        <v>0</v>
      </c>
      <c r="H30" s="27">
        <f>F30-G30</f>
        <v>0</v>
      </c>
      <c r="I30" s="24">
        <f>H30/G30</f>
        <v>0</v>
      </c>
      <c r="J30" s="27">
        <f>Raw_Data!K16</f>
        <v>0</v>
      </c>
      <c r="K30" s="24">
        <f>(F30-J30)/J30</f>
        <v>0</v>
      </c>
      <c r="L30" s="22">
        <v>40065000</v>
      </c>
      <c r="M30" s="22"/>
      <c r="N30" s="24">
        <v>0.153</v>
      </c>
      <c r="O30" s="24"/>
    </row>
    <row r="31" spans="2:15" s="1" customFormat="1" ht="24" customHeight="1">
      <c r="B31" s="2"/>
      <c r="D31" s="21" t="s">
        <v>71</v>
      </c>
      <c r="E31" s="21"/>
      <c r="F31" s="28">
        <f>0.27*(F28/F28)</f>
        <v>0</v>
      </c>
      <c r="G31" s="28">
        <f>0.23*(G28/G28)</f>
        <v>0</v>
      </c>
      <c r="H31" s="29">
        <f>(F31-G31)*100</f>
        <v>0</v>
      </c>
      <c r="I31" s="21" t="s">
        <v>72</v>
      </c>
      <c r="J31" s="26">
        <f>0.239*(J28/J28)</f>
        <v>0</v>
      </c>
      <c r="K31" s="30">
        <f>(F31-J31)*100</f>
        <v>0</v>
      </c>
      <c r="L31" s="26">
        <v>0.266</v>
      </c>
      <c r="M31" s="26"/>
      <c r="N31" s="30">
        <v>2.4</v>
      </c>
      <c r="O31" s="30"/>
    </row>
    <row r="32" spans="2:15" s="1" customFormat="1" ht="8" customHeight="1">
      <c r="B32" s="2"/>
    </row>
    <row r="33" spans="2:15" s="1" customFormat="1" ht="16" customHeight="1">
      <c r="B33" s="2"/>
      <c r="D33" s="31" t="s">
        <v>73</v>
      </c>
      <c r="E33" s="31"/>
      <c r="F33" s="31"/>
      <c r="G33" s="31"/>
      <c r="H33" s="31"/>
      <c r="I33" s="31"/>
      <c r="J33" s="31"/>
      <c r="L33" s="32" t="s">
        <v>74</v>
      </c>
      <c r="M33" s="32"/>
      <c r="N33" s="32"/>
      <c r="O33" s="32"/>
    </row>
    <row r="34" spans="2:15" s="1" customFormat="1" ht="18" customHeight="1">
      <c r="B34" s="2"/>
    </row>
    <row r="35" spans="2:15" s="1" customFormat="1" ht="18" customHeight="1">
      <c r="B35" s="2"/>
    </row>
    <row r="36" spans="2:15" s="1" customFormat="1" ht="18" customHeight="1">
      <c r="B36" s="2"/>
    </row>
    <row r="37" spans="2:15" s="1" customFormat="1" ht="18" customHeight="1">
      <c r="B37" s="2"/>
    </row>
    <row r="38" spans="2:15" s="1" customFormat="1" ht="18" customHeight="1">
      <c r="B38" s="2"/>
    </row>
    <row r="39" spans="2:15" s="1" customFormat="1" ht="18" customHeight="1">
      <c r="B39" s="2"/>
    </row>
    <row r="40" spans="2:15" s="1" customFormat="1" ht="18" customHeight="1">
      <c r="B40" s="2"/>
    </row>
    <row r="41" spans="2:15" s="1" customFormat="1" ht="18" customHeight="1">
      <c r="B41" s="2"/>
    </row>
    <row r="42" spans="2:15" s="1" customFormat="1" ht="18" customHeight="1">
      <c r="B42" s="2"/>
    </row>
    <row r="43" spans="2:15" s="1" customFormat="1" ht="18" customHeight="1">
      <c r="B43" s="2"/>
    </row>
    <row r="44" spans="2:15" s="1" customFormat="1" ht="18" customHeight="1">
      <c r="B44" s="2"/>
    </row>
    <row r="45" spans="2:15" s="1" customFormat="1" ht="18" customHeight="1"/>
  </sheetData>
  <mergeCells count="39">
    <mergeCell ref="B5:B6"/>
    <mergeCell ref="B8:B9"/>
    <mergeCell ref="B11:B12"/>
    <mergeCell ref="B14:B15"/>
    <mergeCell ref="B17:B18"/>
    <mergeCell ref="B20:B21"/>
    <mergeCell ref="D2:I2"/>
    <mergeCell ref="D3:I3"/>
    <mergeCell ref="L2:O2"/>
    <mergeCell ref="L3:O3"/>
    <mergeCell ref="D5:F5"/>
    <mergeCell ref="D6:F6"/>
    <mergeCell ref="D7:F7"/>
    <mergeCell ref="G5:I5"/>
    <mergeCell ref="G6:I6"/>
    <mergeCell ref="G7:I7"/>
    <mergeCell ref="J5:L5"/>
    <mergeCell ref="J6:L6"/>
    <mergeCell ref="J7:L7"/>
    <mergeCell ref="M5:O5"/>
    <mergeCell ref="M6:O6"/>
    <mergeCell ref="M7:O7"/>
    <mergeCell ref="D27:E27"/>
    <mergeCell ref="L27:M27"/>
    <mergeCell ref="N27:O27"/>
    <mergeCell ref="D28:E28"/>
    <mergeCell ref="L28:M28"/>
    <mergeCell ref="N28:O28"/>
    <mergeCell ref="D29:E29"/>
    <mergeCell ref="L29:M29"/>
    <mergeCell ref="N29:O29"/>
    <mergeCell ref="D30:E30"/>
    <mergeCell ref="L30:M30"/>
    <mergeCell ref="N30:O30"/>
    <mergeCell ref="D31:E31"/>
    <mergeCell ref="L31:M31"/>
    <mergeCell ref="N31:O31"/>
    <mergeCell ref="D33:J33"/>
    <mergeCell ref="L33:O33"/>
  </mergeCells>
  <hyperlinks>
    <hyperlink ref="B8" location="Revenue!A1" display="💲  Revenue"/>
    <hyperlink ref="B11" location="Profitability!A1" display="📈  Profitability"/>
    <hyperlink ref="B14" location="Regional_Sales!A1" display="🌐  Regional Sales"/>
    <hyperlink ref="B17" location="Products!A1" display="📦  Products"/>
    <hyperlink ref="B20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D2C4"/>
  </sheetPr>
  <dimension ref="A1:N44"/>
  <sheetViews>
    <sheetView showGridLines="0" workbookViewId="0"/>
  </sheetViews>
  <sheetFormatPr defaultRowHeight="15"/>
  <cols>
    <col min="1" max="1" width="2.28515625" style="1" customWidth="1"/>
    <col min="2" max="2" width="22.7109375" style="2" customWidth="1"/>
    <col min="3" max="3" width="2.28515625" style="1" customWidth="1"/>
    <col min="4" max="14" width="13.7109375" style="1" customWidth="1"/>
  </cols>
  <sheetData>
    <row r="1" spans="2:11" s="1" customFormat="1" ht="18" customHeight="1">
      <c r="B1" s="2"/>
    </row>
    <row r="2" spans="2:11" s="1" customFormat="1" ht="18" customHeight="1">
      <c r="B2" s="3" t="s">
        <v>0</v>
      </c>
      <c r="D2" s="4" t="s">
        <v>75</v>
      </c>
      <c r="E2" s="4"/>
      <c r="F2" s="4"/>
      <c r="G2" s="4"/>
      <c r="H2" s="4"/>
      <c r="I2" s="4"/>
      <c r="J2" s="4"/>
    </row>
    <row r="3" spans="2:11" s="1" customFormat="1" ht="18" customHeight="1">
      <c r="B3" s="6" t="s">
        <v>1</v>
      </c>
      <c r="D3" s="7" t="s">
        <v>76</v>
      </c>
      <c r="E3" s="7"/>
      <c r="F3" s="7"/>
      <c r="G3" s="7"/>
      <c r="H3" s="7"/>
      <c r="I3" s="7"/>
      <c r="J3" s="7"/>
    </row>
    <row r="4" spans="2:11" s="1" customFormat="1" ht="18" customHeight="1">
      <c r="B4" s="2"/>
    </row>
    <row r="5" spans="2:11" s="1" customFormat="1" ht="18" customHeight="1">
      <c r="B5" s="16" t="s">
        <v>2</v>
      </c>
      <c r="D5" s="10" t="s">
        <v>77</v>
      </c>
      <c r="E5" s="10"/>
      <c r="F5" s="10" t="s">
        <v>79</v>
      </c>
      <c r="G5" s="10"/>
      <c r="H5" s="10" t="s">
        <v>82</v>
      </c>
      <c r="I5" s="10"/>
      <c r="J5" s="10" t="s">
        <v>85</v>
      </c>
      <c r="K5" s="10"/>
    </row>
    <row r="6" spans="2:11" s="1" customFormat="1" ht="18" customHeight="1">
      <c r="B6" s="16"/>
      <c r="D6" s="11">
        <f>SUM(Raw_Data!I20:I26)</f>
        <v>0</v>
      </c>
      <c r="E6" s="11"/>
      <c r="F6" s="3" t="s">
        <v>80</v>
      </c>
      <c r="G6" s="3"/>
      <c r="H6" s="12" t="s">
        <v>83</v>
      </c>
      <c r="I6" s="12"/>
      <c r="J6" s="11">
        <f>Raw_Data!E16*12</f>
        <v>0</v>
      </c>
      <c r="K6" s="11"/>
    </row>
    <row r="7" spans="2:11" s="1" customFormat="1" ht="18" customHeight="1">
      <c r="B7" s="2"/>
      <c r="D7" s="15" t="s">
        <v>78</v>
      </c>
      <c r="E7" s="15"/>
      <c r="F7" s="15" t="s">
        <v>81</v>
      </c>
      <c r="G7" s="15"/>
      <c r="H7" s="15" t="s">
        <v>84</v>
      </c>
      <c r="I7" s="15"/>
      <c r="J7" s="15" t="s">
        <v>86</v>
      </c>
      <c r="K7" s="15"/>
    </row>
    <row r="8" spans="2:11" s="1" customFormat="1" ht="18" customHeight="1">
      <c r="B8" s="9" t="s">
        <v>3</v>
      </c>
    </row>
    <row r="9" spans="2:11" s="1" customFormat="1" ht="18" customHeight="1">
      <c r="B9" s="9"/>
      <c r="D9" s="18" t="s">
        <v>87</v>
      </c>
    </row>
    <row r="10" spans="2:11" s="1" customFormat="1" ht="18" customHeight="1">
      <c r="B10" s="2"/>
      <c r="D10" s="19" t="s">
        <v>88</v>
      </c>
      <c r="E10" s="20" t="s">
        <v>89</v>
      </c>
      <c r="F10" s="20" t="s">
        <v>90</v>
      </c>
      <c r="G10" s="20" t="s">
        <v>91</v>
      </c>
      <c r="H10" s="20" t="s">
        <v>92</v>
      </c>
      <c r="I10" s="20" t="s">
        <v>93</v>
      </c>
      <c r="J10" s="20" t="s">
        <v>94</v>
      </c>
      <c r="K10" s="20" t="s">
        <v>95</v>
      </c>
    </row>
    <row r="11" spans="2:11" s="1" customFormat="1" ht="18" customHeight="1">
      <c r="B11" s="16" t="s">
        <v>4</v>
      </c>
      <c r="D11" s="21" t="s">
        <v>96</v>
      </c>
      <c r="E11" s="22">
        <v>700000</v>
      </c>
      <c r="F11" s="22">
        <v>750000</v>
      </c>
      <c r="G11" s="23">
        <f>F11-E11</f>
        <v>0</v>
      </c>
      <c r="H11" s="24">
        <f>F11/E11</f>
        <v>0</v>
      </c>
      <c r="I11" s="24">
        <v>0.165</v>
      </c>
      <c r="J11" s="23">
        <v>4200</v>
      </c>
      <c r="K11" s="33">
        <v>6.2</v>
      </c>
    </row>
    <row r="12" spans="2:11" s="1" customFormat="1" ht="18" customHeight="1">
      <c r="B12" s="16"/>
      <c r="D12" s="21" t="s">
        <v>97</v>
      </c>
      <c r="E12" s="22">
        <v>650000</v>
      </c>
      <c r="F12" s="22">
        <v>700000</v>
      </c>
      <c r="G12" s="23">
        <f>F12-E12</f>
        <v>0</v>
      </c>
      <c r="H12" s="24">
        <f>F12/E12</f>
        <v>0</v>
      </c>
      <c r="I12" s="24">
        <v>0.165</v>
      </c>
      <c r="J12" s="23">
        <v>5800</v>
      </c>
      <c r="K12" s="33">
        <v>4.8</v>
      </c>
    </row>
    <row r="13" spans="2:11" s="1" customFormat="1" ht="18" customHeight="1">
      <c r="B13" s="2"/>
      <c r="D13" s="21" t="s">
        <v>98</v>
      </c>
      <c r="E13" s="22">
        <v>1100000</v>
      </c>
      <c r="F13" s="22">
        <v>1200000</v>
      </c>
      <c r="G13" s="23">
        <f>F13-E13</f>
        <v>0</v>
      </c>
      <c r="H13" s="24">
        <f>F13/E13</f>
        <v>0</v>
      </c>
      <c r="I13" s="24">
        <v>0.165</v>
      </c>
      <c r="J13" s="23">
        <v>1800</v>
      </c>
      <c r="K13" s="33">
        <v>12.4</v>
      </c>
    </row>
    <row r="14" spans="2:11" s="1" customFormat="1" ht="18" customHeight="1">
      <c r="B14" s="16" t="s">
        <v>5</v>
      </c>
      <c r="D14" s="21" t="s">
        <v>99</v>
      </c>
      <c r="E14" s="22">
        <v>1500000</v>
      </c>
      <c r="F14" s="22">
        <v>1650000</v>
      </c>
      <c r="G14" s="23">
        <f>F14-E14</f>
        <v>0</v>
      </c>
      <c r="H14" s="24">
        <f>F14/E14</f>
        <v>0</v>
      </c>
      <c r="I14" s="24">
        <v>0.165</v>
      </c>
      <c r="J14" s="23">
        <v>8500</v>
      </c>
      <c r="K14" s="33">
        <v>5.5</v>
      </c>
    </row>
    <row r="15" spans="2:11" s="1" customFormat="1" ht="18" customHeight="1">
      <c r="B15" s="16"/>
      <c r="D15" s="21" t="s">
        <v>100</v>
      </c>
      <c r="E15" s="22">
        <v>1400000</v>
      </c>
      <c r="F15" s="22">
        <v>1450000</v>
      </c>
      <c r="G15" s="23">
        <f>F15-E15</f>
        <v>0</v>
      </c>
      <c r="H15" s="24">
        <f>F15/E15</f>
        <v>0</v>
      </c>
      <c r="I15" s="24">
        <v>0.165</v>
      </c>
      <c r="J15" s="23">
        <v>12000</v>
      </c>
      <c r="K15" s="33">
        <v>4.2</v>
      </c>
    </row>
    <row r="16" spans="2:11" s="1" customFormat="1" ht="18" customHeight="1">
      <c r="B16" s="2"/>
      <c r="D16" s="21" t="s">
        <v>101</v>
      </c>
      <c r="E16" s="22">
        <v>1800000</v>
      </c>
      <c r="F16" s="22">
        <v>1950000</v>
      </c>
      <c r="G16" s="23">
        <f>F16-E16</f>
        <v>0</v>
      </c>
      <c r="H16" s="24">
        <f>F16/E16</f>
        <v>0</v>
      </c>
      <c r="I16" s="24">
        <v>0.165</v>
      </c>
      <c r="J16" s="23">
        <v>1500</v>
      </c>
      <c r="K16" s="33">
        <v>15.8</v>
      </c>
    </row>
    <row r="17" spans="2:11" s="1" customFormat="1" ht="18" customHeight="1">
      <c r="B17" s="16" t="s">
        <v>6</v>
      </c>
      <c r="D17" s="21" t="s">
        <v>102</v>
      </c>
      <c r="E17" s="22">
        <v>2000000</v>
      </c>
      <c r="F17" s="22">
        <v>2100000</v>
      </c>
      <c r="G17" s="23">
        <f>F17-E17</f>
        <v>0</v>
      </c>
      <c r="H17" s="24">
        <f>F17/E17</f>
        <v>0</v>
      </c>
      <c r="I17" s="24">
        <v>0.165</v>
      </c>
      <c r="J17" s="23">
        <v>4900</v>
      </c>
      <c r="K17" s="33">
        <v>5.1</v>
      </c>
    </row>
    <row r="18" spans="2:11" s="1" customFormat="1" ht="18" customHeight="1">
      <c r="B18" s="16"/>
    </row>
    <row r="19" spans="2:11" s="1" customFormat="1" ht="18" customHeight="1">
      <c r="B19" s="2"/>
    </row>
    <row r="20" spans="2:11" s="1" customFormat="1" ht="18" customHeight="1">
      <c r="B20" s="17" t="s">
        <v>7</v>
      </c>
    </row>
    <row r="21" spans="2:11" s="1" customFormat="1" ht="18" customHeight="1">
      <c r="B21" s="17"/>
    </row>
    <row r="22" spans="2:11" s="1" customFormat="1" ht="18" customHeight="1">
      <c r="B22" s="2"/>
    </row>
    <row r="23" spans="2:11" s="1" customFormat="1" ht="18" customHeight="1">
      <c r="B23" s="2"/>
    </row>
    <row r="24" spans="2:11" s="1" customFormat="1" ht="18" customHeight="1">
      <c r="B24" s="2"/>
    </row>
    <row r="25" spans="2:11" s="1" customFormat="1" ht="18" customHeight="1">
      <c r="B25" s="2"/>
    </row>
    <row r="26" spans="2:11" s="1" customFormat="1" ht="18" customHeight="1">
      <c r="B26" s="2"/>
    </row>
    <row r="27" spans="2:11" s="1" customFormat="1" ht="18" customHeight="1">
      <c r="B27" s="2"/>
    </row>
    <row r="28" spans="2:11" s="1" customFormat="1" ht="18" customHeight="1">
      <c r="B28" s="2"/>
    </row>
    <row r="29" spans="2:11" s="1" customFormat="1" ht="18" customHeight="1">
      <c r="B29" s="2"/>
    </row>
    <row r="30" spans="2:11" s="1" customFormat="1" ht="18" customHeight="1">
      <c r="B30" s="2"/>
    </row>
    <row r="31" spans="2:11" s="1" customFormat="1" ht="18" customHeight="1">
      <c r="B31" s="2"/>
    </row>
    <row r="32" spans="2:11" s="1" customFormat="1" ht="18" customHeight="1">
      <c r="B32" s="2"/>
    </row>
    <row r="33" spans="2:2" s="1" customFormat="1" ht="18" customHeight="1">
      <c r="B33" s="2"/>
    </row>
    <row r="34" spans="2:2" s="1" customFormat="1" ht="18" customHeight="1">
      <c r="B34" s="2"/>
    </row>
    <row r="35" spans="2:2" s="1" customFormat="1" ht="18" customHeight="1">
      <c r="B35" s="2"/>
    </row>
    <row r="36" spans="2:2" s="1" customFormat="1" ht="18" customHeight="1">
      <c r="B36" s="2"/>
    </row>
    <row r="37" spans="2:2" s="1" customFormat="1" ht="18" customHeight="1">
      <c r="B37" s="2"/>
    </row>
    <row r="38" spans="2:2" s="1" customFormat="1" ht="18" customHeight="1">
      <c r="B38" s="2"/>
    </row>
    <row r="39" spans="2:2" s="1" customFormat="1" ht="18" customHeight="1">
      <c r="B39" s="2"/>
    </row>
    <row r="40" spans="2:2" s="1" customFormat="1" ht="18" customHeight="1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</sheetData>
  <mergeCells count="20">
    <mergeCell ref="B5:B6"/>
    <mergeCell ref="B8:B9"/>
    <mergeCell ref="B11:B12"/>
    <mergeCell ref="B14:B15"/>
    <mergeCell ref="B17:B18"/>
    <mergeCell ref="B20:B21"/>
    <mergeCell ref="D2:J2"/>
    <mergeCell ref="D3:J3"/>
    <mergeCell ref="D5:E5"/>
    <mergeCell ref="D6:E6"/>
    <mergeCell ref="D7:E7"/>
    <mergeCell ref="F5:G5"/>
    <mergeCell ref="F6:G6"/>
    <mergeCell ref="F7:G7"/>
    <mergeCell ref="H5:I5"/>
    <mergeCell ref="H6:I6"/>
    <mergeCell ref="H7:I7"/>
    <mergeCell ref="J5:K5"/>
    <mergeCell ref="J6:K6"/>
    <mergeCell ref="J7:K7"/>
  </mergeCells>
  <hyperlinks>
    <hyperlink ref="B5" location="Dashboard!A1" display="📊  Dashboard"/>
    <hyperlink ref="B11" location="Profitability!A1" display="📈  Profitability"/>
    <hyperlink ref="B14" location="Regional_Sales!A1" display="🌐  Regional Sales"/>
    <hyperlink ref="B17" location="Products!A1" display="📦  Products"/>
    <hyperlink ref="B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D2C4"/>
  </sheetPr>
  <dimension ref="A1:N44"/>
  <sheetViews>
    <sheetView showGridLines="0" workbookViewId="0"/>
  </sheetViews>
  <sheetFormatPr defaultRowHeight="15"/>
  <cols>
    <col min="1" max="1" width="2.28515625" style="1" customWidth="1"/>
    <col min="2" max="2" width="22.7109375" style="2" customWidth="1"/>
    <col min="3" max="3" width="2.28515625" style="1" customWidth="1"/>
    <col min="4" max="14" width="13.7109375" style="1" customWidth="1"/>
  </cols>
  <sheetData>
    <row r="1" spans="2:11" s="1" customFormat="1" ht="18" customHeight="1">
      <c r="B1" s="2"/>
    </row>
    <row r="2" spans="2:11" s="1" customFormat="1" ht="18" customHeight="1">
      <c r="B2" s="3" t="s">
        <v>0</v>
      </c>
      <c r="D2" s="4" t="s">
        <v>103</v>
      </c>
      <c r="E2" s="4"/>
      <c r="F2" s="4"/>
      <c r="G2" s="4"/>
      <c r="H2" s="4"/>
      <c r="I2" s="4"/>
      <c r="J2" s="4"/>
    </row>
    <row r="3" spans="2:11" s="1" customFormat="1" ht="18" customHeight="1">
      <c r="B3" s="6" t="s">
        <v>1</v>
      </c>
      <c r="D3" s="7" t="s">
        <v>104</v>
      </c>
      <c r="E3" s="7"/>
      <c r="F3" s="7"/>
      <c r="G3" s="7"/>
      <c r="H3" s="7"/>
      <c r="I3" s="7"/>
      <c r="J3" s="7"/>
    </row>
    <row r="4" spans="2:11" s="1" customFormat="1" ht="18" customHeight="1">
      <c r="B4" s="2"/>
    </row>
    <row r="5" spans="2:11" s="1" customFormat="1" ht="18" customHeight="1">
      <c r="B5" s="16" t="s">
        <v>2</v>
      </c>
      <c r="D5" s="10" t="s">
        <v>56</v>
      </c>
      <c r="E5" s="10"/>
      <c r="F5" s="10" t="s">
        <v>106</v>
      </c>
      <c r="G5" s="10"/>
      <c r="H5" s="10" t="s">
        <v>109</v>
      </c>
      <c r="I5" s="10"/>
      <c r="J5" s="10" t="s">
        <v>112</v>
      </c>
      <c r="K5" s="10"/>
    </row>
    <row r="6" spans="2:11" s="1" customFormat="1" ht="18" customHeight="1">
      <c r="B6" s="16"/>
      <c r="D6" s="11">
        <f>Raw_Data!G16</f>
        <v>0</v>
      </c>
      <c r="E6" s="11"/>
      <c r="F6" s="11" t="s">
        <v>107</v>
      </c>
      <c r="G6" s="11"/>
      <c r="H6" s="11" t="s">
        <v>110</v>
      </c>
      <c r="I6" s="11"/>
      <c r="J6" s="11" t="s">
        <v>113</v>
      </c>
      <c r="K6" s="11"/>
    </row>
    <row r="7" spans="2:11" s="1" customFormat="1" ht="18" customHeight="1">
      <c r="B7" s="2"/>
      <c r="D7" s="15" t="s">
        <v>105</v>
      </c>
      <c r="E7" s="15"/>
      <c r="F7" s="15" t="s">
        <v>108</v>
      </c>
      <c r="G7" s="15"/>
      <c r="H7" s="15" t="s">
        <v>111</v>
      </c>
      <c r="I7" s="15"/>
      <c r="J7" s="15" t="s">
        <v>114</v>
      </c>
      <c r="K7" s="15"/>
    </row>
    <row r="8" spans="2:11" s="1" customFormat="1" ht="18" customHeight="1">
      <c r="B8" s="16" t="s">
        <v>3</v>
      </c>
    </row>
    <row r="9" spans="2:11" s="1" customFormat="1" ht="18" customHeight="1">
      <c r="B9" s="16"/>
      <c r="D9" s="18" t="s">
        <v>115</v>
      </c>
    </row>
    <row r="10" spans="2:11" s="1" customFormat="1" ht="18" customHeight="1">
      <c r="B10" s="2"/>
      <c r="D10" s="19" t="s">
        <v>116</v>
      </c>
      <c r="E10" s="20" t="s">
        <v>117</v>
      </c>
      <c r="F10" s="20" t="s">
        <v>118</v>
      </c>
      <c r="G10" s="20" t="s">
        <v>91</v>
      </c>
      <c r="H10" s="20" t="s">
        <v>119</v>
      </c>
      <c r="I10" s="20" t="s">
        <v>120</v>
      </c>
    </row>
    <row r="11" spans="2:11" s="1" customFormat="1" ht="18" customHeight="1">
      <c r="B11" s="9" t="s">
        <v>4</v>
      </c>
      <c r="D11" s="21" t="s">
        <v>121</v>
      </c>
      <c r="E11" s="22">
        <f>Raw_Data!E16</f>
        <v>0</v>
      </c>
      <c r="F11" s="22">
        <v>8500000</v>
      </c>
      <c r="G11" s="23">
        <f>E11-F11</f>
        <v>0</v>
      </c>
      <c r="H11" s="26" t="s">
        <v>122</v>
      </c>
      <c r="I11" s="22">
        <v>43102000</v>
      </c>
    </row>
    <row r="12" spans="2:11" s="1" customFormat="1" ht="18" customHeight="1">
      <c r="B12" s="9"/>
      <c r="D12" s="21" t="s">
        <v>123</v>
      </c>
      <c r="E12" s="22">
        <f>Raw_Data!F16</f>
        <v>0</v>
      </c>
      <c r="F12" s="22">
        <v>650000</v>
      </c>
      <c r="G12" s="23">
        <f>E12-F12</f>
        <v>0</v>
      </c>
      <c r="H12" s="26">
        <f>E12/E11</f>
        <v>0</v>
      </c>
      <c r="I12" s="22">
        <v>3037000</v>
      </c>
    </row>
    <row r="13" spans="2:11" s="1" customFormat="1" ht="18" customHeight="1">
      <c r="B13" s="2"/>
      <c r="D13" s="21" t="s">
        <v>124</v>
      </c>
      <c r="E13" s="22">
        <f>E11-E12</f>
        <v>0</v>
      </c>
      <c r="F13" s="22">
        <v>7850000</v>
      </c>
      <c r="G13" s="23">
        <f>E13-F13</f>
        <v>0</v>
      </c>
      <c r="H13" s="26">
        <f>E13/E11</f>
        <v>0</v>
      </c>
      <c r="I13" s="22">
        <v>40065000</v>
      </c>
    </row>
    <row r="14" spans="2:11" s="1" customFormat="1" ht="18" customHeight="1">
      <c r="B14" s="16" t="s">
        <v>5</v>
      </c>
      <c r="D14" s="21" t="s">
        <v>125</v>
      </c>
      <c r="E14" s="22">
        <v>1250000</v>
      </c>
      <c r="F14" s="22">
        <v>1300000</v>
      </c>
      <c r="G14" s="23">
        <f>E14-F14</f>
        <v>0</v>
      </c>
      <c r="H14" s="26">
        <f>E14/E11</f>
        <v>0</v>
      </c>
      <c r="I14" s="22">
        <v>6100000</v>
      </c>
    </row>
    <row r="15" spans="2:11" s="1" customFormat="1" ht="18" customHeight="1">
      <c r="B15" s="16"/>
      <c r="D15" s="21" t="s">
        <v>126</v>
      </c>
      <c r="E15" s="22">
        <v>1420000</v>
      </c>
      <c r="F15" s="22">
        <v>1400000</v>
      </c>
      <c r="G15" s="23">
        <f>E15-F15</f>
        <v>0</v>
      </c>
      <c r="H15" s="26">
        <f>E15/E11</f>
        <v>0</v>
      </c>
      <c r="I15" s="22">
        <v>6950000</v>
      </c>
    </row>
    <row r="16" spans="2:11" s="1" customFormat="1" ht="18" customHeight="1">
      <c r="B16" s="2"/>
      <c r="D16" s="21" t="s">
        <v>127</v>
      </c>
      <c r="E16" s="22">
        <v>510000</v>
      </c>
      <c r="F16" s="22">
        <v>520000</v>
      </c>
      <c r="G16" s="23">
        <f>E16-F16</f>
        <v>0</v>
      </c>
      <c r="H16" s="26">
        <f>E16/E11</f>
        <v>0</v>
      </c>
      <c r="I16" s="22">
        <v>2500000</v>
      </c>
    </row>
    <row r="17" spans="2:9" s="1" customFormat="1" ht="18" customHeight="1">
      <c r="B17" s="16" t="s">
        <v>6</v>
      </c>
      <c r="D17" s="21" t="s">
        <v>128</v>
      </c>
      <c r="E17" s="22">
        <f>SUM(E14:E16)</f>
        <v>0</v>
      </c>
      <c r="F17" s="22">
        <v>3220000</v>
      </c>
      <c r="G17" s="23">
        <f>E17-F17</f>
        <v>0</v>
      </c>
      <c r="H17" s="26">
        <f>E17/E11</f>
        <v>0</v>
      </c>
      <c r="I17" s="22">
        <v>15550000</v>
      </c>
    </row>
    <row r="18" spans="2:9" s="1" customFormat="1" ht="18" customHeight="1">
      <c r="B18" s="16"/>
      <c r="D18" s="21" t="s">
        <v>129</v>
      </c>
      <c r="E18" s="22">
        <f>E13-E17</f>
        <v>0</v>
      </c>
      <c r="F18" s="22">
        <v>4630000</v>
      </c>
      <c r="G18" s="23">
        <f>E18-F18</f>
        <v>0</v>
      </c>
      <c r="H18" s="26">
        <f>E18/E11</f>
        <v>0</v>
      </c>
      <c r="I18" s="22">
        <v>24515000</v>
      </c>
    </row>
    <row r="19" spans="2:9" s="1" customFormat="1" ht="18" customHeight="1">
      <c r="B19" s="2"/>
      <c r="D19" s="21" t="s">
        <v>130</v>
      </c>
      <c r="E19" s="22">
        <f>E18*0.20</f>
        <v>0</v>
      </c>
      <c r="F19" s="22">
        <v>926000</v>
      </c>
      <c r="G19" s="23">
        <f>E19-F19</f>
        <v>0</v>
      </c>
      <c r="H19" s="26">
        <f>E19/E11</f>
        <v>0</v>
      </c>
      <c r="I19" s="22">
        <v>4903000</v>
      </c>
    </row>
    <row r="20" spans="2:9" s="1" customFormat="1" ht="18" customHeight="1">
      <c r="B20" s="17" t="s">
        <v>7</v>
      </c>
      <c r="D20" s="21" t="s">
        <v>131</v>
      </c>
      <c r="E20" s="22">
        <f>E18-E19</f>
        <v>0</v>
      </c>
      <c r="F20" s="22">
        <v>3704000</v>
      </c>
      <c r="G20" s="23">
        <f>E20-F20</f>
        <v>0</v>
      </c>
      <c r="H20" s="26">
        <f>E20/E11</f>
        <v>0</v>
      </c>
      <c r="I20" s="22">
        <v>19612000</v>
      </c>
    </row>
    <row r="21" spans="2:9" s="1" customFormat="1" ht="18" customHeight="1">
      <c r="B21" s="17"/>
    </row>
    <row r="22" spans="2:9" s="1" customFormat="1" ht="18" customHeight="1">
      <c r="B22" s="2"/>
    </row>
    <row r="23" spans="2:9" s="1" customFormat="1" ht="18" customHeight="1">
      <c r="B23" s="2"/>
    </row>
    <row r="24" spans="2:9" s="1" customFormat="1" ht="18" customHeight="1">
      <c r="B24" s="2"/>
    </row>
    <row r="25" spans="2:9" s="1" customFormat="1" ht="18" customHeight="1">
      <c r="B25" s="2"/>
    </row>
    <row r="26" spans="2:9" s="1" customFormat="1" ht="18" customHeight="1">
      <c r="B26" s="2"/>
    </row>
    <row r="27" spans="2:9" s="1" customFormat="1" ht="18" customHeight="1">
      <c r="B27" s="2"/>
    </row>
    <row r="28" spans="2:9" s="1" customFormat="1" ht="18" customHeight="1">
      <c r="B28" s="2"/>
    </row>
    <row r="29" spans="2:9" s="1" customFormat="1" ht="18" customHeight="1">
      <c r="B29" s="2"/>
    </row>
    <row r="30" spans="2:9" s="1" customFormat="1" ht="18" customHeight="1">
      <c r="B30" s="2"/>
    </row>
    <row r="31" spans="2:9" s="1" customFormat="1" ht="18" customHeight="1">
      <c r="B31" s="2"/>
    </row>
    <row r="32" spans="2:9" s="1" customFormat="1" ht="18" customHeight="1">
      <c r="B32" s="2"/>
    </row>
    <row r="33" spans="2:2" s="1" customFormat="1" ht="18" customHeight="1">
      <c r="B33" s="2"/>
    </row>
    <row r="34" spans="2:2" s="1" customFormat="1" ht="18" customHeight="1">
      <c r="B34" s="2"/>
    </row>
    <row r="35" spans="2:2" s="1" customFormat="1" ht="18" customHeight="1">
      <c r="B35" s="2"/>
    </row>
    <row r="36" spans="2:2" s="1" customFormat="1" ht="18" customHeight="1">
      <c r="B36" s="2"/>
    </row>
    <row r="37" spans="2:2" s="1" customFormat="1" ht="18" customHeight="1">
      <c r="B37" s="2"/>
    </row>
    <row r="38" spans="2:2" s="1" customFormat="1" ht="18" customHeight="1">
      <c r="B38" s="2"/>
    </row>
    <row r="39" spans="2:2" s="1" customFormat="1" ht="18" customHeight="1">
      <c r="B39" s="2"/>
    </row>
    <row r="40" spans="2:2" s="1" customFormat="1" ht="18" customHeight="1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</sheetData>
  <mergeCells count="20">
    <mergeCell ref="B5:B6"/>
    <mergeCell ref="B8:B9"/>
    <mergeCell ref="B11:B12"/>
    <mergeCell ref="B14:B15"/>
    <mergeCell ref="B17:B18"/>
    <mergeCell ref="B20:B21"/>
    <mergeCell ref="D2:J2"/>
    <mergeCell ref="D3:J3"/>
    <mergeCell ref="D5:E5"/>
    <mergeCell ref="D6:E6"/>
    <mergeCell ref="D7:E7"/>
    <mergeCell ref="F5:G5"/>
    <mergeCell ref="F6:G6"/>
    <mergeCell ref="F7:G7"/>
    <mergeCell ref="H5:I5"/>
    <mergeCell ref="H6:I6"/>
    <mergeCell ref="H7:I7"/>
    <mergeCell ref="J5:K5"/>
    <mergeCell ref="J6:K6"/>
    <mergeCell ref="J7:K7"/>
  </mergeCells>
  <hyperlinks>
    <hyperlink ref="B5" location="Dashboard!A1" display="📊  Dashboard"/>
    <hyperlink ref="B8" location="Revenue!A1" display="💲  Revenue"/>
    <hyperlink ref="B14" location="Regional_Sales!A1" display="🌐  Regional Sales"/>
    <hyperlink ref="B17" location="Products!A1" display="📦  Products"/>
    <hyperlink ref="B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D2C4"/>
  </sheetPr>
  <dimension ref="A1:M44"/>
  <sheetViews>
    <sheetView showGridLines="0" workbookViewId="0"/>
  </sheetViews>
  <sheetFormatPr defaultRowHeight="15"/>
  <cols>
    <col min="1" max="1" width="2.28515625" style="1" customWidth="1"/>
    <col min="2" max="2" width="22.7109375" style="2" customWidth="1"/>
    <col min="3" max="3" width="2.28515625" style="1" customWidth="1"/>
    <col min="4" max="13" width="14.28515625" style="1" customWidth="1"/>
  </cols>
  <sheetData>
    <row r="1" spans="2:11" s="1" customFormat="1" ht="18" customHeight="1">
      <c r="B1" s="2"/>
    </row>
    <row r="2" spans="2:11" s="1" customFormat="1" ht="18" customHeight="1">
      <c r="B2" s="3" t="s">
        <v>0</v>
      </c>
      <c r="D2" s="4" t="s">
        <v>132</v>
      </c>
      <c r="E2" s="4"/>
      <c r="F2" s="4"/>
      <c r="G2" s="4"/>
      <c r="H2" s="4"/>
      <c r="I2" s="4"/>
      <c r="J2" s="4"/>
    </row>
    <row r="3" spans="2:11" s="1" customFormat="1" ht="18" customHeight="1">
      <c r="B3" s="6" t="s">
        <v>1</v>
      </c>
      <c r="D3" s="7" t="s">
        <v>133</v>
      </c>
      <c r="E3" s="7"/>
      <c r="F3" s="7"/>
      <c r="G3" s="7"/>
      <c r="H3" s="7"/>
      <c r="I3" s="7"/>
      <c r="J3" s="7"/>
    </row>
    <row r="4" spans="2:11" s="1" customFormat="1" ht="18" customHeight="1">
      <c r="B4" s="2"/>
    </row>
    <row r="5" spans="2:11" s="1" customFormat="1" ht="18" customHeight="1">
      <c r="B5" s="16" t="s">
        <v>2</v>
      </c>
      <c r="D5" s="10" t="s">
        <v>134</v>
      </c>
      <c r="E5" s="10"/>
      <c r="F5" s="10" t="s">
        <v>137</v>
      </c>
      <c r="G5" s="10"/>
      <c r="H5" s="10" t="s">
        <v>140</v>
      </c>
      <c r="I5" s="10"/>
      <c r="J5" s="10" t="s">
        <v>143</v>
      </c>
      <c r="K5" s="10"/>
    </row>
    <row r="6" spans="2:11" s="1" customFormat="1" ht="18" customHeight="1">
      <c r="B6" s="16"/>
      <c r="D6" s="11" t="s">
        <v>135</v>
      </c>
      <c r="E6" s="11"/>
      <c r="F6" s="11" t="s">
        <v>138</v>
      </c>
      <c r="G6" s="11"/>
      <c r="H6" s="11" t="s">
        <v>141</v>
      </c>
      <c r="I6" s="11"/>
      <c r="J6" s="11" t="s">
        <v>144</v>
      </c>
      <c r="K6" s="11"/>
    </row>
    <row r="7" spans="2:11" s="1" customFormat="1" ht="18" customHeight="1">
      <c r="B7" s="2"/>
      <c r="D7" s="15" t="s">
        <v>136</v>
      </c>
      <c r="E7" s="15"/>
      <c r="F7" s="15" t="s">
        <v>139</v>
      </c>
      <c r="G7" s="15"/>
      <c r="H7" s="15" t="s">
        <v>142</v>
      </c>
      <c r="I7" s="15"/>
      <c r="J7" s="15" t="s">
        <v>145</v>
      </c>
      <c r="K7" s="15"/>
    </row>
    <row r="8" spans="2:11" s="1" customFormat="1" ht="18" customHeight="1">
      <c r="B8" s="16" t="s">
        <v>3</v>
      </c>
    </row>
    <row r="9" spans="2:11" s="1" customFormat="1" ht="18" customHeight="1">
      <c r="B9" s="16"/>
      <c r="D9" s="18" t="s">
        <v>146</v>
      </c>
    </row>
    <row r="10" spans="2:11" s="1" customFormat="1" ht="18" customHeight="1">
      <c r="B10" s="2"/>
      <c r="D10" s="19" t="s">
        <v>147</v>
      </c>
      <c r="E10" s="20" t="s">
        <v>148</v>
      </c>
      <c r="F10" s="20" t="s">
        <v>149</v>
      </c>
      <c r="G10" s="20" t="s">
        <v>150</v>
      </c>
      <c r="H10" s="20" t="s">
        <v>92</v>
      </c>
      <c r="I10" s="20" t="s">
        <v>151</v>
      </c>
      <c r="J10" s="20" t="s">
        <v>93</v>
      </c>
    </row>
    <row r="11" spans="2:11" s="1" customFormat="1" ht="18" customHeight="1">
      <c r="B11" s="16" t="s">
        <v>4</v>
      </c>
      <c r="D11" s="21" t="s">
        <v>152</v>
      </c>
      <c r="E11" s="21" t="s">
        <v>153</v>
      </c>
      <c r="F11" s="22">
        <v>4500000</v>
      </c>
      <c r="G11" s="22">
        <v>4808960</v>
      </c>
      <c r="H11" s="24">
        <f>G11/F11</f>
        <v>0</v>
      </c>
      <c r="I11" s="33">
        <v>1420</v>
      </c>
      <c r="J11" s="24">
        <v>0.185</v>
      </c>
    </row>
    <row r="12" spans="2:11" s="1" customFormat="1" ht="18" customHeight="1">
      <c r="B12" s="16"/>
      <c r="D12" s="21" t="s">
        <v>154</v>
      </c>
      <c r="E12" s="21" t="s">
        <v>155</v>
      </c>
      <c r="F12" s="22">
        <v>2300000</v>
      </c>
      <c r="G12" s="22">
        <v>2450720</v>
      </c>
      <c r="H12" s="24">
        <f>G12/F12</f>
        <v>0</v>
      </c>
      <c r="I12" s="33">
        <v>890</v>
      </c>
      <c r="J12" s="24">
        <v>0.224</v>
      </c>
    </row>
    <row r="13" spans="2:11" s="1" customFormat="1" ht="18" customHeight="1">
      <c r="B13" s="2"/>
      <c r="D13" s="21" t="s">
        <v>156</v>
      </c>
      <c r="E13" s="21" t="s">
        <v>157</v>
      </c>
      <c r="F13" s="22">
        <v>1300000</v>
      </c>
      <c r="G13" s="22">
        <v>1387200</v>
      </c>
      <c r="H13" s="24">
        <f>G13/F13</f>
        <v>0</v>
      </c>
      <c r="I13" s="33">
        <v>540</v>
      </c>
      <c r="J13" s="24">
        <v>0.312</v>
      </c>
    </row>
    <row r="14" spans="2:11" s="1" customFormat="1" ht="18" customHeight="1">
      <c r="B14" s="9" t="s">
        <v>5</v>
      </c>
      <c r="D14" s="21" t="s">
        <v>158</v>
      </c>
      <c r="E14" s="21" t="s">
        <v>159</v>
      </c>
      <c r="F14" s="22">
        <v>350000</v>
      </c>
      <c r="G14" s="22">
        <v>375400</v>
      </c>
      <c r="H14" s="24">
        <f>G14/F14</f>
        <v>0</v>
      </c>
      <c r="I14" s="33">
        <v>210</v>
      </c>
      <c r="J14" s="24">
        <v>0.148</v>
      </c>
    </row>
    <row r="15" spans="2:11" s="1" customFormat="1" ht="18" customHeight="1">
      <c r="B15" s="9"/>
      <c r="D15" s="21" t="s">
        <v>160</v>
      </c>
      <c r="E15" s="21" t="s">
        <v>161</v>
      </c>
      <c r="F15" s="22">
        <v>200000</v>
      </c>
      <c r="G15" s="22">
        <v>225720</v>
      </c>
      <c r="H15" s="24">
        <f>G15/F15</f>
        <v>0</v>
      </c>
      <c r="I15" s="33">
        <v>135</v>
      </c>
      <c r="J15" s="24">
        <v>0.286</v>
      </c>
    </row>
    <row r="16" spans="2:11" s="1" customFormat="1" ht="18" customHeight="1">
      <c r="B16" s="2"/>
    </row>
    <row r="17" spans="2:2" s="1" customFormat="1" ht="18" customHeight="1">
      <c r="B17" s="16" t="s">
        <v>6</v>
      </c>
    </row>
    <row r="18" spans="2:2" s="1" customFormat="1" ht="18" customHeight="1">
      <c r="B18" s="16"/>
    </row>
    <row r="19" spans="2:2" s="1" customFormat="1" ht="18" customHeight="1">
      <c r="B19" s="2"/>
    </row>
    <row r="20" spans="2:2" s="1" customFormat="1" ht="18" customHeight="1">
      <c r="B20" s="17" t="s">
        <v>7</v>
      </c>
    </row>
    <row r="21" spans="2:2" s="1" customFormat="1" ht="18" customHeight="1">
      <c r="B21" s="17"/>
    </row>
    <row r="22" spans="2:2" s="1" customFormat="1" ht="18" customHeight="1">
      <c r="B22" s="2"/>
    </row>
    <row r="23" spans="2:2" s="1" customFormat="1" ht="18" customHeight="1">
      <c r="B23" s="2"/>
    </row>
    <row r="24" spans="2:2" s="1" customFormat="1" ht="18" customHeight="1">
      <c r="B24" s="2"/>
    </row>
    <row r="25" spans="2:2" s="1" customFormat="1" ht="18" customHeight="1">
      <c r="B25" s="2"/>
    </row>
    <row r="26" spans="2:2" s="1" customFormat="1" ht="18" customHeight="1">
      <c r="B26" s="2"/>
    </row>
    <row r="27" spans="2:2" s="1" customFormat="1" ht="18" customHeight="1">
      <c r="B27" s="2"/>
    </row>
    <row r="28" spans="2:2" s="1" customFormat="1" ht="18" customHeight="1">
      <c r="B28" s="2"/>
    </row>
    <row r="29" spans="2:2" s="1" customFormat="1" ht="18" customHeight="1">
      <c r="B29" s="2"/>
    </row>
    <row r="30" spans="2:2" s="1" customFormat="1" ht="18" customHeight="1">
      <c r="B30" s="2"/>
    </row>
    <row r="31" spans="2:2" s="1" customFormat="1" ht="18" customHeight="1">
      <c r="B31" s="2"/>
    </row>
    <row r="32" spans="2:2" s="1" customFormat="1" ht="18" customHeight="1">
      <c r="B32" s="2"/>
    </row>
    <row r="33" spans="2:2" s="1" customFormat="1" ht="18" customHeight="1">
      <c r="B33" s="2"/>
    </row>
    <row r="34" spans="2:2" s="1" customFormat="1" ht="18" customHeight="1">
      <c r="B34" s="2"/>
    </row>
    <row r="35" spans="2:2" s="1" customFormat="1" ht="18" customHeight="1">
      <c r="B35" s="2"/>
    </row>
    <row r="36" spans="2:2" s="1" customFormat="1" ht="18" customHeight="1">
      <c r="B36" s="2"/>
    </row>
    <row r="37" spans="2:2" s="1" customFormat="1" ht="18" customHeight="1">
      <c r="B37" s="2"/>
    </row>
    <row r="38" spans="2:2" s="1" customFormat="1" ht="18" customHeight="1">
      <c r="B38" s="2"/>
    </row>
    <row r="39" spans="2:2" s="1" customFormat="1" ht="18" customHeight="1">
      <c r="B39" s="2"/>
    </row>
    <row r="40" spans="2:2" s="1" customFormat="1" ht="18" customHeight="1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</sheetData>
  <mergeCells count="20">
    <mergeCell ref="B5:B6"/>
    <mergeCell ref="B8:B9"/>
    <mergeCell ref="B11:B12"/>
    <mergeCell ref="B14:B15"/>
    <mergeCell ref="B17:B18"/>
    <mergeCell ref="B20:B21"/>
    <mergeCell ref="D2:J2"/>
    <mergeCell ref="D3:J3"/>
    <mergeCell ref="D5:E5"/>
    <mergeCell ref="D6:E6"/>
    <mergeCell ref="D7:E7"/>
    <mergeCell ref="F5:G5"/>
    <mergeCell ref="F6:G6"/>
    <mergeCell ref="F7:G7"/>
    <mergeCell ref="H5:I5"/>
    <mergeCell ref="H6:I6"/>
    <mergeCell ref="H7:I7"/>
    <mergeCell ref="J5:K5"/>
    <mergeCell ref="J6:K6"/>
    <mergeCell ref="J7:K7"/>
  </mergeCells>
  <hyperlinks>
    <hyperlink ref="B5" location="Dashboard!A1" display="📊  Dashboard"/>
    <hyperlink ref="B8" location="Revenue!A1" display="💲  Revenue"/>
    <hyperlink ref="B11" location="Profitability!A1" display="📈  Profitability"/>
    <hyperlink ref="B17" location="Products!A1" display="📦  Products"/>
    <hyperlink ref="B2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D2C4"/>
  </sheetPr>
  <dimension ref="A1:M44"/>
  <sheetViews>
    <sheetView showGridLines="0" workbookViewId="0"/>
  </sheetViews>
  <sheetFormatPr defaultRowHeight="15"/>
  <cols>
    <col min="1" max="1" width="2.28515625" style="1" customWidth="1"/>
    <col min="2" max="2" width="22.7109375" style="2" customWidth="1"/>
    <col min="3" max="3" width="2.28515625" style="1" customWidth="1"/>
    <col min="4" max="13" width="14.28515625" style="1" customWidth="1"/>
  </cols>
  <sheetData>
    <row r="1" spans="2:11" s="1" customFormat="1" ht="18" customHeight="1">
      <c r="B1" s="2"/>
    </row>
    <row r="2" spans="2:11" s="1" customFormat="1" ht="18" customHeight="1">
      <c r="B2" s="3" t="s">
        <v>0</v>
      </c>
      <c r="D2" s="4" t="s">
        <v>162</v>
      </c>
      <c r="E2" s="4"/>
      <c r="F2" s="4"/>
      <c r="G2" s="4"/>
      <c r="H2" s="4"/>
      <c r="I2" s="4"/>
      <c r="J2" s="4"/>
    </row>
    <row r="3" spans="2:11" s="1" customFormat="1" ht="18" customHeight="1">
      <c r="B3" s="6" t="s">
        <v>1</v>
      </c>
      <c r="D3" s="7" t="s">
        <v>163</v>
      </c>
      <c r="E3" s="7"/>
      <c r="F3" s="7"/>
      <c r="G3" s="7"/>
      <c r="H3" s="7"/>
      <c r="I3" s="7"/>
      <c r="J3" s="7"/>
    </row>
    <row r="4" spans="2:11" s="1" customFormat="1" ht="18" customHeight="1">
      <c r="B4" s="2"/>
    </row>
    <row r="5" spans="2:11" s="1" customFormat="1" ht="18" customHeight="1">
      <c r="B5" s="16" t="s">
        <v>2</v>
      </c>
      <c r="D5" s="10" t="s">
        <v>164</v>
      </c>
      <c r="E5" s="10"/>
      <c r="F5" s="10" t="s">
        <v>167</v>
      </c>
      <c r="G5" s="10"/>
      <c r="H5" s="10" t="s">
        <v>170</v>
      </c>
      <c r="I5" s="10"/>
      <c r="J5" s="10" t="s">
        <v>173</v>
      </c>
      <c r="K5" s="10"/>
    </row>
    <row r="6" spans="2:11" s="1" customFormat="1" ht="18" customHeight="1">
      <c r="B6" s="16"/>
      <c r="D6" s="11" t="s">
        <v>165</v>
      </c>
      <c r="E6" s="11"/>
      <c r="F6" s="33" t="s">
        <v>168</v>
      </c>
      <c r="G6" s="33"/>
      <c r="H6" s="14" t="s">
        <v>171</v>
      </c>
      <c r="I6" s="14"/>
      <c r="J6" s="33" t="s">
        <v>174</v>
      </c>
      <c r="K6" s="33"/>
    </row>
    <row r="7" spans="2:11" s="1" customFormat="1" ht="18" customHeight="1">
      <c r="B7" s="2"/>
      <c r="D7" s="15" t="s">
        <v>166</v>
      </c>
      <c r="E7" s="15"/>
      <c r="F7" s="15" t="s">
        <v>169</v>
      </c>
      <c r="G7" s="15"/>
      <c r="H7" s="15" t="s">
        <v>172</v>
      </c>
      <c r="I7" s="15"/>
      <c r="J7" s="15" t="s">
        <v>175</v>
      </c>
      <c r="K7" s="15"/>
    </row>
    <row r="8" spans="2:11" s="1" customFormat="1" ht="18" customHeight="1">
      <c r="B8" s="16" t="s">
        <v>3</v>
      </c>
    </row>
    <row r="9" spans="2:11" s="1" customFormat="1" ht="18" customHeight="1">
      <c r="B9" s="16"/>
      <c r="D9" s="18" t="s">
        <v>176</v>
      </c>
    </row>
    <row r="10" spans="2:11" s="1" customFormat="1" ht="18" customHeight="1">
      <c r="B10" s="2"/>
      <c r="D10" s="19" t="s">
        <v>177</v>
      </c>
      <c r="E10" s="20" t="s">
        <v>178</v>
      </c>
      <c r="F10" s="20" t="s">
        <v>179</v>
      </c>
      <c r="G10" s="20" t="s">
        <v>180</v>
      </c>
      <c r="H10" s="20" t="s">
        <v>150</v>
      </c>
      <c r="I10" s="20" t="s">
        <v>181</v>
      </c>
      <c r="J10" s="20" t="s">
        <v>15</v>
      </c>
    </row>
    <row r="11" spans="2:11" s="1" customFormat="1" ht="18" customHeight="1">
      <c r="B11" s="16" t="s">
        <v>4</v>
      </c>
      <c r="D11" s="21" t="s">
        <v>182</v>
      </c>
      <c r="E11" s="21" t="s">
        <v>37</v>
      </c>
      <c r="F11" s="33">
        <v>112</v>
      </c>
      <c r="G11" s="23">
        <v>51200</v>
      </c>
      <c r="H11" s="22">
        <v>5733760</v>
      </c>
      <c r="I11" s="26">
        <v>0.62</v>
      </c>
      <c r="J11" s="26">
        <v>0.825</v>
      </c>
    </row>
    <row r="12" spans="2:11" s="1" customFormat="1" ht="18" customHeight="1">
      <c r="B12" s="16"/>
      <c r="D12" s="21" t="s">
        <v>183</v>
      </c>
      <c r="E12" s="21" t="s">
        <v>184</v>
      </c>
      <c r="F12" s="33">
        <v>445</v>
      </c>
      <c r="G12" s="23">
        <v>4780</v>
      </c>
      <c r="H12" s="22">
        <v>2127040</v>
      </c>
      <c r="I12" s="26">
        <v>0.23</v>
      </c>
      <c r="J12" s="26">
        <v>0.742</v>
      </c>
    </row>
    <row r="13" spans="2:11" s="1" customFormat="1" ht="18" customHeight="1">
      <c r="B13" s="2"/>
      <c r="D13" s="21" t="s">
        <v>185</v>
      </c>
      <c r="E13" s="21" t="s">
        <v>186</v>
      </c>
      <c r="F13" s="33">
        <v>1850</v>
      </c>
      <c r="G13" s="23">
        <v>500</v>
      </c>
      <c r="H13" s="22">
        <v>924800</v>
      </c>
      <c r="I13" s="26">
        <v>0.1</v>
      </c>
      <c r="J13" s="26">
        <v>0.6850000000000001</v>
      </c>
    </row>
    <row r="14" spans="2:11" s="1" customFormat="1" ht="18" customHeight="1">
      <c r="B14" s="16" t="s">
        <v>5</v>
      </c>
      <c r="D14" s="21" t="s">
        <v>187</v>
      </c>
      <c r="E14" s="21" t="s">
        <v>188</v>
      </c>
      <c r="F14" s="33">
        <v>24</v>
      </c>
      <c r="G14" s="23">
        <v>15000</v>
      </c>
      <c r="H14" s="22">
        <v>360000</v>
      </c>
      <c r="I14" s="26">
        <v>0.039</v>
      </c>
      <c r="J14" s="26">
        <v>0.45</v>
      </c>
    </row>
    <row r="15" spans="2:11" s="1" customFormat="1" ht="18" customHeight="1">
      <c r="B15" s="16"/>
      <c r="D15" s="21" t="s">
        <v>189</v>
      </c>
      <c r="E15" s="21" t="s">
        <v>37</v>
      </c>
      <c r="F15" s="33">
        <v>85</v>
      </c>
      <c r="G15" s="23">
        <v>1200</v>
      </c>
      <c r="H15" s="22">
        <v>102400</v>
      </c>
      <c r="I15" s="26">
        <v>0.011</v>
      </c>
      <c r="J15" s="26">
        <v>0.91</v>
      </c>
    </row>
    <row r="16" spans="2:11" s="1" customFormat="1" ht="18" customHeight="1">
      <c r="B16" s="2"/>
    </row>
    <row r="17" spans="2:2" s="1" customFormat="1" ht="18" customHeight="1">
      <c r="B17" s="9" t="s">
        <v>6</v>
      </c>
    </row>
    <row r="18" spans="2:2" s="1" customFormat="1" ht="18" customHeight="1">
      <c r="B18" s="9"/>
    </row>
    <row r="19" spans="2:2" s="1" customFormat="1" ht="18" customHeight="1">
      <c r="B19" s="2"/>
    </row>
    <row r="20" spans="2:2" s="1" customFormat="1" ht="18" customHeight="1">
      <c r="B20" s="17" t="s">
        <v>7</v>
      </c>
    </row>
    <row r="21" spans="2:2" s="1" customFormat="1" ht="18" customHeight="1">
      <c r="B21" s="17"/>
    </row>
    <row r="22" spans="2:2" s="1" customFormat="1" ht="18" customHeight="1">
      <c r="B22" s="2"/>
    </row>
    <row r="23" spans="2:2" s="1" customFormat="1" ht="18" customHeight="1">
      <c r="B23" s="2"/>
    </row>
    <row r="24" spans="2:2" s="1" customFormat="1" ht="18" customHeight="1">
      <c r="B24" s="2"/>
    </row>
    <row r="25" spans="2:2" s="1" customFormat="1" ht="18" customHeight="1">
      <c r="B25" s="2"/>
    </row>
    <row r="26" spans="2:2" s="1" customFormat="1" ht="18" customHeight="1">
      <c r="B26" s="2"/>
    </row>
    <row r="27" spans="2:2" s="1" customFormat="1" ht="18" customHeight="1">
      <c r="B27" s="2"/>
    </row>
    <row r="28" spans="2:2" s="1" customFormat="1" ht="18" customHeight="1">
      <c r="B28" s="2"/>
    </row>
    <row r="29" spans="2:2" s="1" customFormat="1" ht="18" customHeight="1">
      <c r="B29" s="2"/>
    </row>
    <row r="30" spans="2:2" s="1" customFormat="1" ht="18" customHeight="1">
      <c r="B30" s="2"/>
    </row>
    <row r="31" spans="2:2" s="1" customFormat="1" ht="18" customHeight="1">
      <c r="B31" s="2"/>
    </row>
    <row r="32" spans="2:2" s="1" customFormat="1" ht="18" customHeight="1">
      <c r="B32" s="2"/>
    </row>
    <row r="33" spans="2:2" s="1" customFormat="1" ht="18" customHeight="1">
      <c r="B33" s="2"/>
    </row>
    <row r="34" spans="2:2" s="1" customFormat="1" ht="18" customHeight="1">
      <c r="B34" s="2"/>
    </row>
    <row r="35" spans="2:2" s="1" customFormat="1" ht="18" customHeight="1">
      <c r="B35" s="2"/>
    </row>
    <row r="36" spans="2:2" s="1" customFormat="1" ht="18" customHeight="1">
      <c r="B36" s="2"/>
    </row>
    <row r="37" spans="2:2" s="1" customFormat="1" ht="18" customHeight="1">
      <c r="B37" s="2"/>
    </row>
    <row r="38" spans="2:2" s="1" customFormat="1" ht="18" customHeight="1">
      <c r="B38" s="2"/>
    </row>
    <row r="39" spans="2:2" s="1" customFormat="1" ht="18" customHeight="1">
      <c r="B39" s="2"/>
    </row>
    <row r="40" spans="2:2" s="1" customFormat="1" ht="18" customHeight="1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</sheetData>
  <mergeCells count="20">
    <mergeCell ref="B5:B6"/>
    <mergeCell ref="B8:B9"/>
    <mergeCell ref="B11:B12"/>
    <mergeCell ref="B14:B15"/>
    <mergeCell ref="B17:B18"/>
    <mergeCell ref="B20:B21"/>
    <mergeCell ref="D2:J2"/>
    <mergeCell ref="D3:J3"/>
    <mergeCell ref="D5:E5"/>
    <mergeCell ref="D6:E6"/>
    <mergeCell ref="D7:E7"/>
    <mergeCell ref="F5:G5"/>
    <mergeCell ref="F6:G6"/>
    <mergeCell ref="F7:G7"/>
    <mergeCell ref="H5:I5"/>
    <mergeCell ref="H6:I6"/>
    <mergeCell ref="H7:I7"/>
    <mergeCell ref="J5:K5"/>
    <mergeCell ref="J6:K6"/>
    <mergeCell ref="J7:K7"/>
  </mergeCells>
  <hyperlinks>
    <hyperlink ref="B5" location="Dashboard!A1" display="📊  Dashboard"/>
    <hyperlink ref="B8" location="Revenue!A1" display="💲  Revenue"/>
    <hyperlink ref="B11" location="Profitability!A1" display="📈  Profitability"/>
    <hyperlink ref="B14" location="Regional_Sales!A1" display="🌐  Regional Sales"/>
    <hyperlink ref="B20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D2C4"/>
  </sheetPr>
  <dimension ref="A1:T45"/>
  <sheetViews>
    <sheetView showGridLines="0" workbookViewId="0"/>
  </sheetViews>
  <sheetFormatPr defaultRowHeight="15"/>
  <cols>
    <col min="1" max="1" width="2.28515625" style="1" customWidth="1"/>
    <col min="2" max="2" width="22.7109375" style="2" customWidth="1"/>
    <col min="3" max="3" width="2.28515625" style="1" customWidth="1"/>
    <col min="4" max="20" width="14.28515625" style="1" customWidth="1"/>
  </cols>
  <sheetData>
    <row r="1" spans="2:15" s="1" customFormat="1" ht="18" customHeight="1">
      <c r="B1" s="2"/>
    </row>
    <row r="2" spans="2:15" s="1" customFormat="1" ht="18" customHeight="1">
      <c r="B2" s="3" t="s">
        <v>0</v>
      </c>
      <c r="D2" s="4" t="s">
        <v>8</v>
      </c>
      <c r="E2" s="4"/>
      <c r="F2" s="4"/>
      <c r="G2" s="4"/>
      <c r="H2" s="4"/>
      <c r="I2" s="4"/>
      <c r="J2" s="4"/>
      <c r="K2" s="4"/>
    </row>
    <row r="3" spans="2:15" s="1" customFormat="1" ht="18" customHeight="1">
      <c r="B3" s="6" t="s">
        <v>1</v>
      </c>
      <c r="D3" s="7" t="s">
        <v>9</v>
      </c>
      <c r="E3" s="7"/>
      <c r="F3" s="7"/>
      <c r="G3" s="7"/>
      <c r="H3" s="7"/>
      <c r="I3" s="7"/>
      <c r="J3" s="7"/>
      <c r="K3" s="7"/>
    </row>
    <row r="4" spans="2:15" s="1" customFormat="1" ht="18" customHeight="1">
      <c r="B4" s="2"/>
    </row>
    <row r="5" spans="2:15" s="1" customFormat="1" ht="18" customHeight="1">
      <c r="B5" s="16" t="s">
        <v>2</v>
      </c>
      <c r="D5" s="18" t="s">
        <v>10</v>
      </c>
    </row>
    <row r="6" spans="2:15" s="1" customFormat="1" ht="18" customHeight="1">
      <c r="B6" s="16"/>
      <c r="D6" s="19" t="s">
        <v>11</v>
      </c>
      <c r="E6" s="20" t="s">
        <v>12</v>
      </c>
      <c r="F6" s="20" t="s">
        <v>13</v>
      </c>
      <c r="G6" s="20" t="s">
        <v>14</v>
      </c>
      <c r="H6" s="20" t="s">
        <v>15</v>
      </c>
      <c r="I6" s="20" t="s">
        <v>16</v>
      </c>
      <c r="J6" s="20" t="s">
        <v>17</v>
      </c>
      <c r="K6" s="20" t="s">
        <v>18</v>
      </c>
      <c r="L6" s="20" t="s">
        <v>19</v>
      </c>
      <c r="M6" s="20" t="s">
        <v>20</v>
      </c>
      <c r="N6" s="20" t="s">
        <v>21</v>
      </c>
      <c r="O6" s="20" t="s">
        <v>22</v>
      </c>
    </row>
    <row r="7" spans="2:15" s="1" customFormat="1" ht="18" customHeight="1">
      <c r="B7" s="2"/>
      <c r="D7" s="21" t="s">
        <v>23</v>
      </c>
      <c r="E7" s="22">
        <v>4000000</v>
      </c>
      <c r="F7" s="23">
        <v>450000</v>
      </c>
      <c r="G7" s="22">
        <v>3550000</v>
      </c>
      <c r="H7" s="28">
        <f>G7/E7</f>
        <v>0</v>
      </c>
      <c r="I7" s="22">
        <v>3600000</v>
      </c>
      <c r="J7" s="23">
        <v>430000</v>
      </c>
      <c r="K7" s="22">
        <v>3170000</v>
      </c>
      <c r="L7" s="22">
        <v>3800000</v>
      </c>
      <c r="M7" s="23">
        <v>440000</v>
      </c>
      <c r="N7" s="22">
        <v>3360000</v>
      </c>
      <c r="O7" s="22">
        <v>22000000</v>
      </c>
    </row>
    <row r="8" spans="2:15" s="1" customFormat="1" ht="18" customHeight="1">
      <c r="B8" s="16" t="s">
        <v>3</v>
      </c>
      <c r="D8" s="21" t="s">
        <v>24</v>
      </c>
      <c r="E8" s="22">
        <v>4800000</v>
      </c>
      <c r="F8" s="23">
        <v>480000</v>
      </c>
      <c r="G8" s="22">
        <v>4320000</v>
      </c>
      <c r="H8" s="28">
        <f>G8/E8</f>
        <v>0</v>
      </c>
      <c r="I8" s="22">
        <v>4200000</v>
      </c>
      <c r="J8" s="23">
        <v>460000</v>
      </c>
      <c r="K8" s="22">
        <v>3740000</v>
      </c>
      <c r="L8" s="22">
        <v>4500000</v>
      </c>
      <c r="M8" s="23">
        <v>470000</v>
      </c>
      <c r="N8" s="22">
        <v>4030000</v>
      </c>
      <c r="O8" s="22">
        <v>26800000</v>
      </c>
    </row>
    <row r="9" spans="2:15" s="1" customFormat="1" ht="18" customHeight="1">
      <c r="B9" s="16"/>
      <c r="D9" s="21" t="s">
        <v>25</v>
      </c>
      <c r="E9" s="22">
        <v>5600000</v>
      </c>
      <c r="F9" s="23">
        <v>520000</v>
      </c>
      <c r="G9" s="22">
        <v>5080000</v>
      </c>
      <c r="H9" s="28">
        <f>G9/E9</f>
        <v>0</v>
      </c>
      <c r="I9" s="22">
        <v>5000000</v>
      </c>
      <c r="J9" s="23">
        <v>500000</v>
      </c>
      <c r="K9" s="22">
        <v>4500000</v>
      </c>
      <c r="L9" s="22">
        <v>5200000</v>
      </c>
      <c r="M9" s="23">
        <v>510000</v>
      </c>
      <c r="N9" s="22">
        <v>4690000</v>
      </c>
      <c r="O9" s="22">
        <v>32400000</v>
      </c>
    </row>
    <row r="10" spans="2:15" s="1" customFormat="1" ht="18" customHeight="1">
      <c r="B10" s="2"/>
      <c r="D10" s="21" t="s">
        <v>26</v>
      </c>
      <c r="E10" s="22">
        <v>6200000</v>
      </c>
      <c r="F10" s="23">
        <v>550000</v>
      </c>
      <c r="G10" s="22">
        <v>5650000</v>
      </c>
      <c r="H10" s="28">
        <f>G10/E10</f>
        <v>0</v>
      </c>
      <c r="I10" s="22">
        <v>5800000</v>
      </c>
      <c r="J10" s="23">
        <v>530000</v>
      </c>
      <c r="K10" s="22">
        <v>5270000</v>
      </c>
      <c r="L10" s="22">
        <v>6000000</v>
      </c>
      <c r="M10" s="23">
        <v>540000</v>
      </c>
      <c r="N10" s="22">
        <v>5460000</v>
      </c>
      <c r="O10" s="22">
        <v>38600000</v>
      </c>
    </row>
    <row r="11" spans="2:15" s="1" customFormat="1" ht="18" customHeight="1">
      <c r="B11" s="16" t="s">
        <v>4</v>
      </c>
      <c r="D11" s="21" t="s">
        <v>27</v>
      </c>
      <c r="E11" s="22">
        <v>7200000</v>
      </c>
      <c r="F11" s="23">
        <v>580000</v>
      </c>
      <c r="G11" s="22">
        <v>6620000</v>
      </c>
      <c r="H11" s="28">
        <f>G11/E11</f>
        <v>0</v>
      </c>
      <c r="I11" s="22">
        <v>6500000</v>
      </c>
      <c r="J11" s="23">
        <v>560000</v>
      </c>
      <c r="K11" s="22">
        <v>5940000</v>
      </c>
      <c r="L11" s="22">
        <v>6800000</v>
      </c>
      <c r="M11" s="23">
        <v>570000</v>
      </c>
      <c r="N11" s="22">
        <v>6230000</v>
      </c>
      <c r="O11" s="22">
        <v>45800000</v>
      </c>
    </row>
    <row r="12" spans="2:15" s="1" customFormat="1" ht="18" customHeight="1">
      <c r="B12" s="16"/>
      <c r="D12" s="21" t="s">
        <v>28</v>
      </c>
      <c r="E12" s="22">
        <v>7500000</v>
      </c>
      <c r="F12" s="23">
        <v>590000</v>
      </c>
      <c r="G12" s="22">
        <v>6910000</v>
      </c>
      <c r="H12" s="28">
        <f>G12/E12</f>
        <v>0</v>
      </c>
      <c r="I12" s="22">
        <v>7000000</v>
      </c>
      <c r="J12" s="23">
        <v>5800000</v>
      </c>
      <c r="K12" s="22">
        <v>6420000</v>
      </c>
      <c r="L12" s="22">
        <v>7200000</v>
      </c>
      <c r="M12" s="23">
        <v>585000</v>
      </c>
      <c r="N12" s="22">
        <v>6615000</v>
      </c>
      <c r="O12" s="22">
        <v>53300000</v>
      </c>
    </row>
    <row r="13" spans="2:15" s="1" customFormat="1" ht="18" customHeight="1">
      <c r="B13" s="2"/>
      <c r="D13" s="21" t="s">
        <v>29</v>
      </c>
      <c r="E13" s="22">
        <v>7400000</v>
      </c>
      <c r="F13" s="23">
        <v>600000</v>
      </c>
      <c r="G13" s="22">
        <v>6800000</v>
      </c>
      <c r="H13" s="28">
        <f>G13/E13</f>
        <v>0</v>
      </c>
      <c r="I13" s="22">
        <v>7200000</v>
      </c>
      <c r="J13" s="23">
        <v>590000</v>
      </c>
      <c r="K13" s="22">
        <v>6610000</v>
      </c>
      <c r="L13" s="22">
        <v>7500000</v>
      </c>
      <c r="M13" s="23">
        <v>600000</v>
      </c>
      <c r="N13" s="22">
        <v>6900000</v>
      </c>
      <c r="O13" s="22">
        <v>60700000</v>
      </c>
    </row>
    <row r="14" spans="2:15" s="1" customFormat="1" ht="18" customHeight="1">
      <c r="B14" s="16" t="s">
        <v>5</v>
      </c>
      <c r="D14" s="21" t="s">
        <v>30</v>
      </c>
      <c r="E14" s="22">
        <v>8100000</v>
      </c>
      <c r="F14" s="23">
        <v>610000</v>
      </c>
      <c r="G14" s="22">
        <v>7490000</v>
      </c>
      <c r="H14" s="28">
        <f>G14/E14</f>
        <v>0</v>
      </c>
      <c r="I14" s="22">
        <v>7600000</v>
      </c>
      <c r="J14" s="23">
        <v>600000</v>
      </c>
      <c r="K14" s="22">
        <v>7000000</v>
      </c>
      <c r="L14" s="22">
        <v>7800000</v>
      </c>
      <c r="M14" s="23">
        <v>610000</v>
      </c>
      <c r="N14" s="22">
        <v>7190000</v>
      </c>
      <c r="O14" s="22">
        <v>68800000</v>
      </c>
    </row>
    <row r="15" spans="2:15" s="1" customFormat="1" ht="18" customHeight="1">
      <c r="B15" s="16"/>
      <c r="D15" s="21" t="s">
        <v>31</v>
      </c>
      <c r="E15" s="22">
        <v>8700000</v>
      </c>
      <c r="F15" s="23">
        <v>620000</v>
      </c>
      <c r="G15" s="22">
        <v>8080000</v>
      </c>
      <c r="H15" s="28">
        <f>G15/E15</f>
        <v>0</v>
      </c>
      <c r="I15" s="22">
        <v>8000000</v>
      </c>
      <c r="J15" s="23">
        <v>610000</v>
      </c>
      <c r="K15" s="22">
        <v>7390000</v>
      </c>
      <c r="L15" s="22">
        <v>8200000</v>
      </c>
      <c r="M15" s="23">
        <v>620000</v>
      </c>
      <c r="N15" s="22">
        <v>7580000</v>
      </c>
      <c r="O15" s="22">
        <v>77500000</v>
      </c>
    </row>
    <row r="16" spans="2:15" s="1" customFormat="1" ht="18" customHeight="1">
      <c r="B16" s="2"/>
      <c r="D16" s="21" t="s">
        <v>32</v>
      </c>
      <c r="E16" s="22">
        <v>9248000</v>
      </c>
      <c r="F16" s="23">
        <v>612000</v>
      </c>
      <c r="G16" s="27">
        <v>9560</v>
      </c>
      <c r="H16" s="28">
        <f>G16/E16</f>
        <v>0</v>
      </c>
      <c r="I16" s="22">
        <v>8223000</v>
      </c>
      <c r="J16" s="23">
        <v>648000</v>
      </c>
      <c r="K16" s="27">
        <v>7575</v>
      </c>
      <c r="L16" s="22">
        <v>8500000</v>
      </c>
      <c r="M16" s="23">
        <v>650000</v>
      </c>
      <c r="N16" s="27">
        <v>7850</v>
      </c>
      <c r="O16" s="22">
        <v>43102000</v>
      </c>
    </row>
    <row r="17" spans="2:10" s="1" customFormat="1" ht="18" customHeight="1">
      <c r="B17" s="16" t="s">
        <v>6</v>
      </c>
    </row>
    <row r="18" spans="2:10" s="1" customFormat="1" ht="18" customHeight="1">
      <c r="B18" s="16"/>
      <c r="D18" s="18" t="s">
        <v>33</v>
      </c>
      <c r="H18" s="18" t="s">
        <v>41</v>
      </c>
    </row>
    <row r="19" spans="2:10" s="1" customFormat="1" ht="18" customHeight="1">
      <c r="B19" s="2"/>
      <c r="D19" s="19" t="s">
        <v>34</v>
      </c>
      <c r="E19" s="19" t="s">
        <v>35</v>
      </c>
      <c r="F19" s="20" t="s">
        <v>36</v>
      </c>
      <c r="H19" s="19" t="s">
        <v>42</v>
      </c>
      <c r="I19" s="19" t="s">
        <v>12</v>
      </c>
      <c r="J19" s="20" t="s">
        <v>43</v>
      </c>
    </row>
    <row r="20" spans="2:10" s="1" customFormat="1" ht="18" customHeight="1">
      <c r="B20" s="17" t="s">
        <v>7</v>
      </c>
      <c r="D20" s="21" t="s">
        <v>37</v>
      </c>
      <c r="E20" s="28">
        <v>0.62</v>
      </c>
      <c r="F20" s="22">
        <f>E16*E20</f>
        <v>0</v>
      </c>
      <c r="H20" s="21" t="s">
        <v>44</v>
      </c>
      <c r="I20" s="23">
        <v>750000</v>
      </c>
      <c r="J20" s="33">
        <f>I20/1000</f>
        <v>0</v>
      </c>
    </row>
    <row r="21" spans="2:10" s="1" customFormat="1" ht="18" customHeight="1">
      <c r="B21" s="17"/>
      <c r="D21" s="21" t="s">
        <v>38</v>
      </c>
      <c r="E21" s="28">
        <v>0.23</v>
      </c>
      <c r="F21" s="22">
        <f>E16*E21</f>
        <v>0</v>
      </c>
      <c r="H21" s="21" t="s">
        <v>45</v>
      </c>
      <c r="I21" s="23">
        <v>700000</v>
      </c>
      <c r="J21" s="33">
        <f>I21/1000</f>
        <v>0</v>
      </c>
    </row>
    <row r="22" spans="2:10" s="1" customFormat="1" ht="18" customHeight="1">
      <c r="B22" s="2"/>
      <c r="D22" s="21" t="s">
        <v>39</v>
      </c>
      <c r="E22" s="28">
        <v>0.1</v>
      </c>
      <c r="F22" s="22">
        <f>E16*E22</f>
        <v>0</v>
      </c>
      <c r="H22" s="21" t="s">
        <v>46</v>
      </c>
      <c r="I22" s="23">
        <v>1200000</v>
      </c>
      <c r="J22" s="33">
        <f>I22/1000</f>
        <v>0</v>
      </c>
    </row>
    <row r="23" spans="2:10" s="1" customFormat="1" ht="18" customHeight="1">
      <c r="B23" s="2"/>
      <c r="D23" s="21" t="s">
        <v>40</v>
      </c>
      <c r="E23" s="28">
        <v>0.05</v>
      </c>
      <c r="F23" s="22">
        <f>E16*E23</f>
        <v>0</v>
      </c>
      <c r="H23" s="21" t="s">
        <v>47</v>
      </c>
      <c r="I23" s="23">
        <v>1650000</v>
      </c>
      <c r="J23" s="33">
        <f>I23/1000</f>
        <v>0</v>
      </c>
    </row>
    <row r="24" spans="2:10" s="1" customFormat="1" ht="18" customHeight="1">
      <c r="B24" s="2"/>
      <c r="H24" s="21" t="s">
        <v>48</v>
      </c>
      <c r="I24" s="23">
        <v>1450000</v>
      </c>
      <c r="J24" s="33">
        <f>I24/1000</f>
        <v>0</v>
      </c>
    </row>
    <row r="25" spans="2:10" s="1" customFormat="1" ht="18" customHeight="1">
      <c r="B25" s="2"/>
      <c r="H25" s="21" t="s">
        <v>49</v>
      </c>
      <c r="I25" s="23">
        <v>1950000</v>
      </c>
      <c r="J25" s="33">
        <f>I25/1000</f>
        <v>0</v>
      </c>
    </row>
    <row r="26" spans="2:10" s="1" customFormat="1" ht="18" customHeight="1">
      <c r="B26" s="2"/>
      <c r="H26" s="21" t="s">
        <v>40</v>
      </c>
      <c r="I26" s="23">
        <v>2100000</v>
      </c>
      <c r="J26" s="33">
        <f>I26/1000</f>
        <v>0</v>
      </c>
    </row>
    <row r="27" spans="2:10" s="1" customFormat="1" ht="18" customHeight="1">
      <c r="B27" s="2"/>
    </row>
    <row r="28" spans="2:10" s="1" customFormat="1" ht="18" customHeight="1">
      <c r="B28" s="2"/>
    </row>
    <row r="29" spans="2:10" s="1" customFormat="1" ht="18" customHeight="1">
      <c r="B29" s="2"/>
    </row>
    <row r="30" spans="2:10" s="1" customFormat="1" ht="18" customHeight="1">
      <c r="B30" s="2"/>
    </row>
    <row r="31" spans="2:10" s="1" customFormat="1" ht="18" customHeight="1">
      <c r="B31" s="2"/>
    </row>
    <row r="32" spans="2:10" s="1" customFormat="1" ht="18" customHeight="1">
      <c r="B32" s="2"/>
    </row>
    <row r="33" spans="2:2" s="1" customFormat="1" ht="18" customHeight="1">
      <c r="B33" s="2"/>
    </row>
    <row r="34" spans="2:2" s="1" customFormat="1" ht="18" customHeight="1">
      <c r="B34" s="2"/>
    </row>
    <row r="35" spans="2:2" s="1" customFormat="1" ht="18" customHeight="1">
      <c r="B35" s="2"/>
    </row>
    <row r="36" spans="2:2" s="1" customFormat="1" ht="18" customHeight="1">
      <c r="B36" s="2"/>
    </row>
    <row r="37" spans="2:2" s="1" customFormat="1" ht="18" customHeight="1">
      <c r="B37" s="2"/>
    </row>
    <row r="38" spans="2:2" s="1" customFormat="1" ht="18" customHeight="1">
      <c r="B38" s="2"/>
    </row>
    <row r="39" spans="2:2" s="1" customFormat="1" ht="18" customHeight="1">
      <c r="B39" s="2"/>
    </row>
    <row r="40" spans="2:2" s="1" customFormat="1" ht="18" customHeight="1">
      <c r="B40" s="2"/>
    </row>
    <row r="41" spans="2:2" s="1" customFormat="1" ht="18" customHeight="1">
      <c r="B41" s="2"/>
    </row>
    <row r="42" spans="2:2" s="1" customFormat="1" ht="18" customHeight="1">
      <c r="B42" s="2"/>
    </row>
    <row r="43" spans="2:2" s="1" customFormat="1" ht="18" customHeight="1">
      <c r="B43" s="2"/>
    </row>
    <row r="44" spans="2:2" s="1" customFormat="1" ht="18" customHeight="1">
      <c r="B44" s="2"/>
    </row>
    <row r="45" spans="2:2" s="1" customFormat="1" ht="18" customHeight="1"/>
  </sheetData>
  <mergeCells count="8">
    <mergeCell ref="B5:B6"/>
    <mergeCell ref="B8:B9"/>
    <mergeCell ref="B11:B12"/>
    <mergeCell ref="B14:B15"/>
    <mergeCell ref="B17:B18"/>
    <mergeCell ref="B20:B21"/>
    <mergeCell ref="D2:K2"/>
    <mergeCell ref="D3:K3"/>
  </mergeCells>
  <hyperlinks>
    <hyperlink ref="B5" location="Dashboard!A1" display="📊  Dashboard"/>
    <hyperlink ref="B8" location="Revenue!A1" display="💲  Revenue"/>
    <hyperlink ref="B11" location="Profitability!A1" display="📈  Profitability"/>
    <hyperlink ref="B14" location="Regional_Sales!A1" display="🌐  Regional Sales"/>
    <hyperlink ref="B17" location="Products!A1" display="📦  Products"/>
    <hyperlink ref="B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D2C4"/>
    <pageSetUpPr fitToPage="1"/>
  </sheetPr>
  <dimension ref="A1:O44"/>
  <sheetViews>
    <sheetView showGridLines="0" workbookViewId="0"/>
  </sheetViews>
  <sheetFormatPr defaultRowHeight="15"/>
  <cols>
    <col min="1" max="1" width="2.28515625" style="1" customWidth="1"/>
    <col min="2" max="2" width="22.7109375" style="2" customWidth="1"/>
    <col min="3" max="3" width="2.28515625" style="1" customWidth="1"/>
    <col min="4" max="15" width="12.28515625" style="1" customWidth="1"/>
  </cols>
  <sheetData>
    <row r="1" spans="2:14" s="1" customFormat="1" ht="18" customHeight="1">
      <c r="B1" s="2"/>
    </row>
    <row r="2" spans="2:14" s="1" customFormat="1" ht="18" customHeight="1">
      <c r="B2" s="3" t="s">
        <v>0</v>
      </c>
      <c r="D2" s="4" t="s">
        <v>190</v>
      </c>
      <c r="E2" s="4"/>
      <c r="F2" s="4"/>
      <c r="G2" s="4"/>
      <c r="H2" s="4"/>
      <c r="I2" s="4"/>
      <c r="J2" s="4"/>
      <c r="K2" s="4"/>
    </row>
    <row r="3" spans="2:14" s="1" customFormat="1" ht="18" customHeight="1">
      <c r="B3" s="6" t="s">
        <v>1</v>
      </c>
      <c r="D3" s="7" t="s">
        <v>191</v>
      </c>
      <c r="E3" s="7"/>
      <c r="F3" s="7"/>
      <c r="G3" s="7"/>
      <c r="H3" s="7"/>
      <c r="I3" s="7"/>
      <c r="J3" s="7"/>
      <c r="K3" s="7"/>
    </row>
    <row r="4" spans="2:14" s="1" customFormat="1" ht="18" customHeight="1">
      <c r="B4" s="2"/>
    </row>
    <row r="5" spans="2:14" s="1" customFormat="1" ht="28" customHeight="1">
      <c r="B5" s="16" t="s">
        <v>2</v>
      </c>
      <c r="D5" s="34" t="s">
        <v>192</v>
      </c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2:14" s="1" customFormat="1" ht="18" customHeight="1">
      <c r="B6" s="16"/>
    </row>
    <row r="7" spans="2:14" s="1" customFormat="1" ht="18" customHeight="1">
      <c r="B7" s="2"/>
      <c r="D7" s="18" t="s">
        <v>193</v>
      </c>
    </row>
    <row r="8" spans="2:14" s="1" customFormat="1" ht="18" customHeight="1">
      <c r="B8" s="16" t="s">
        <v>3</v>
      </c>
    </row>
    <row r="9" spans="2:14" s="1" customFormat="1" ht="18" customHeight="1">
      <c r="B9" s="16"/>
      <c r="D9" s="21" t="s">
        <v>194</v>
      </c>
      <c r="E9" s="21" t="s">
        <v>195</v>
      </c>
      <c r="F9" s="21"/>
      <c r="G9" s="21"/>
      <c r="H9" s="21"/>
      <c r="I9" s="21"/>
      <c r="J9" s="21"/>
      <c r="K9" s="21"/>
      <c r="L9" s="21"/>
      <c r="M9" s="21"/>
      <c r="N9" s="21"/>
    </row>
    <row r="10" spans="2:14" s="1" customFormat="1" ht="18" customHeight="1">
      <c r="B10" s="2"/>
      <c r="D10" s="21" t="s">
        <v>196</v>
      </c>
      <c r="E10" s="21" t="s">
        <v>197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2:14" s="1" customFormat="1" ht="18" customHeight="1">
      <c r="B11" s="16" t="s">
        <v>4</v>
      </c>
      <c r="D11" s="21" t="s">
        <v>198</v>
      </c>
      <c r="E11" s="21" t="s">
        <v>199</v>
      </c>
      <c r="F11" s="21"/>
      <c r="G11" s="21"/>
      <c r="H11" s="21"/>
      <c r="I11" s="21"/>
      <c r="J11" s="21"/>
      <c r="K11" s="21"/>
      <c r="L11" s="21"/>
      <c r="M11" s="21"/>
      <c r="N11" s="21"/>
    </row>
    <row r="12" spans="2:14" s="1" customFormat="1" ht="18" customHeight="1">
      <c r="B12" s="16"/>
      <c r="D12" s="21" t="s">
        <v>200</v>
      </c>
      <c r="E12" s="21" t="s">
        <v>201</v>
      </c>
      <c r="F12" s="21"/>
      <c r="G12" s="21"/>
      <c r="H12" s="21"/>
      <c r="I12" s="21"/>
      <c r="J12" s="21"/>
      <c r="K12" s="21"/>
      <c r="L12" s="21"/>
      <c r="M12" s="21"/>
      <c r="N12" s="21"/>
    </row>
    <row r="13" spans="2:14" s="1" customFormat="1" ht="18" customHeight="1">
      <c r="B13" s="2"/>
      <c r="D13" s="18" t="s">
        <v>202</v>
      </c>
    </row>
    <row r="14" spans="2:14" s="1" customFormat="1" ht="18" customHeight="1">
      <c r="B14" s="16" t="s">
        <v>5</v>
      </c>
    </row>
    <row r="15" spans="2:14" s="1" customFormat="1" ht="18" customHeight="1">
      <c r="B15" s="16"/>
      <c r="D15" s="19" t="s">
        <v>203</v>
      </c>
      <c r="E15" s="20" t="s">
        <v>204</v>
      </c>
      <c r="F15" s="20" t="s">
        <v>205</v>
      </c>
      <c r="G15" s="20" t="s">
        <v>91</v>
      </c>
      <c r="H15" s="20" t="s">
        <v>92</v>
      </c>
      <c r="I15" s="20" t="s">
        <v>206</v>
      </c>
      <c r="J15" s="20" t="s">
        <v>207</v>
      </c>
    </row>
    <row r="16" spans="2:14" s="1" customFormat="1" ht="18" customHeight="1">
      <c r="B16" s="2"/>
      <c r="D16" s="21" t="s">
        <v>208</v>
      </c>
      <c r="E16" s="22">
        <v>9248000</v>
      </c>
      <c r="F16" s="22">
        <v>8500000</v>
      </c>
      <c r="G16" s="23">
        <v>748000</v>
      </c>
      <c r="H16" s="24">
        <v>1.088</v>
      </c>
      <c r="I16" s="22">
        <v>8223000</v>
      </c>
      <c r="J16" s="24">
        <v>0.124</v>
      </c>
    </row>
    <row r="17" spans="2:14" s="1" customFormat="1" ht="18" customHeight="1">
      <c r="B17" s="16" t="s">
        <v>6</v>
      </c>
      <c r="D17" s="21" t="s">
        <v>209</v>
      </c>
      <c r="E17" s="22">
        <v>612000</v>
      </c>
      <c r="F17" s="22">
        <v>650000</v>
      </c>
      <c r="G17" s="23">
        <v>-38000</v>
      </c>
      <c r="H17" s="24">
        <v>0.9409999999999999</v>
      </c>
      <c r="I17" s="22">
        <v>648000</v>
      </c>
      <c r="J17" s="24">
        <v>-0.057</v>
      </c>
    </row>
    <row r="18" spans="2:14" s="1" customFormat="1" ht="18" customHeight="1">
      <c r="B18" s="16"/>
      <c r="D18" s="21" t="s">
        <v>210</v>
      </c>
      <c r="E18" s="22">
        <v>8636000</v>
      </c>
      <c r="F18" s="22">
        <v>7850000</v>
      </c>
      <c r="G18" s="23">
        <v>786000</v>
      </c>
      <c r="H18" s="24">
        <v>1.1</v>
      </c>
      <c r="I18" s="22">
        <v>7575000</v>
      </c>
      <c r="J18" s="24">
        <v>0.14</v>
      </c>
    </row>
    <row r="19" spans="2:14" s="1" customFormat="1" ht="18" customHeight="1">
      <c r="B19" s="2"/>
      <c r="D19" s="21" t="s">
        <v>211</v>
      </c>
      <c r="E19" s="22">
        <v>5456000</v>
      </c>
      <c r="F19" s="22">
        <v>4630000</v>
      </c>
      <c r="G19" s="23">
        <v>826000</v>
      </c>
      <c r="H19" s="24">
        <v>1.178</v>
      </c>
      <c r="I19" s="22">
        <v>4520000</v>
      </c>
      <c r="J19" s="24">
        <v>0.207</v>
      </c>
    </row>
    <row r="20" spans="2:14" s="1" customFormat="1" ht="18" customHeight="1">
      <c r="B20" s="17" t="s">
        <v>7</v>
      </c>
      <c r="D20" s="21" t="s">
        <v>212</v>
      </c>
      <c r="E20" s="22">
        <v>4364800</v>
      </c>
      <c r="F20" s="22">
        <v>3704000</v>
      </c>
      <c r="G20" s="23">
        <v>660800</v>
      </c>
      <c r="H20" s="24">
        <v>1.178</v>
      </c>
      <c r="I20" s="22">
        <v>3616000</v>
      </c>
      <c r="J20" s="24">
        <v>0.207</v>
      </c>
    </row>
    <row r="21" spans="2:14" s="1" customFormat="1" ht="18" customHeight="1">
      <c r="B21" s="17"/>
    </row>
    <row r="22" spans="2:14" s="1" customFormat="1" ht="18" customHeight="1">
      <c r="B22" s="2"/>
      <c r="D22" s="31" t="s">
        <v>213</v>
      </c>
      <c r="E22" s="31"/>
      <c r="F22" s="31"/>
      <c r="G22" s="31"/>
      <c r="H22" s="31"/>
      <c r="I22" s="31"/>
      <c r="J22" s="31"/>
      <c r="K22" s="32" t="s">
        <v>214</v>
      </c>
      <c r="L22" s="32"/>
      <c r="M22" s="32"/>
      <c r="N22" s="32"/>
    </row>
    <row r="23" spans="2:14" s="1" customFormat="1" ht="18" customHeight="1">
      <c r="B23" s="2"/>
    </row>
    <row r="24" spans="2:14" s="1" customFormat="1" ht="18" customHeight="1">
      <c r="B24" s="2"/>
    </row>
    <row r="25" spans="2:14" s="1" customFormat="1" ht="18" customHeight="1">
      <c r="B25" s="2"/>
    </row>
    <row r="26" spans="2:14" s="1" customFormat="1" ht="18" customHeight="1">
      <c r="B26" s="2"/>
    </row>
    <row r="27" spans="2:14" s="1" customFormat="1" ht="18" customHeight="1">
      <c r="B27" s="2"/>
    </row>
    <row r="28" spans="2:14" s="1" customFormat="1" ht="18" customHeight="1">
      <c r="B28" s="2"/>
    </row>
    <row r="29" spans="2:14" s="1" customFormat="1" ht="18" customHeight="1">
      <c r="B29" s="2"/>
    </row>
    <row r="30" spans="2:14" s="1" customFormat="1" ht="18" customHeight="1">
      <c r="B30" s="2"/>
    </row>
    <row r="31" spans="2:14" s="1" customFormat="1" ht="18" customHeight="1">
      <c r="B31" s="2"/>
    </row>
    <row r="32" spans="2:14" s="1" customFormat="1" ht="18" customHeight="1">
      <c r="B32" s="2"/>
    </row>
    <row r="33" spans="2:2" s="1" customFormat="1" ht="18" customHeight="1">
      <c r="B33" s="2"/>
    </row>
    <row r="34" spans="2:2" s="1" customFormat="1" ht="18" customHeight="1">
      <c r="B34" s="2"/>
    </row>
    <row r="35" spans="2:2" s="1" customFormat="1" ht="18" customHeight="1">
      <c r="B35" s="2"/>
    </row>
    <row r="36" spans="2:2" s="1" customFormat="1" ht="18" customHeight="1">
      <c r="B36" s="2"/>
    </row>
    <row r="37" spans="2:2" s="1" customFormat="1" ht="18" customHeight="1">
      <c r="B37" s="2"/>
    </row>
    <row r="38" spans="2:2" s="1" customFormat="1" ht="18" customHeight="1">
      <c r="B38" s="2"/>
    </row>
    <row r="39" spans="2:2" s="1" customFormat="1" ht="18" customHeight="1">
      <c r="B39" s="2"/>
    </row>
    <row r="40" spans="2:2" s="1" customFormat="1" ht="18" customHeight="1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</sheetData>
  <mergeCells count="15">
    <mergeCell ref="B5:B6"/>
    <mergeCell ref="B8:B9"/>
    <mergeCell ref="B11:B12"/>
    <mergeCell ref="B14:B15"/>
    <mergeCell ref="B17:B18"/>
    <mergeCell ref="B20:B21"/>
    <mergeCell ref="D2:K2"/>
    <mergeCell ref="D3:K3"/>
    <mergeCell ref="D5:N5"/>
    <mergeCell ref="E9:N9"/>
    <mergeCell ref="E10:N10"/>
    <mergeCell ref="E11:N11"/>
    <mergeCell ref="E12:N12"/>
    <mergeCell ref="D22:J22"/>
    <mergeCell ref="K22:N22"/>
  </mergeCells>
  <hyperlinks>
    <hyperlink ref="B5" location="Dashboard!A1" display="📊  Dashboard"/>
    <hyperlink ref="D5" r:id="rId1"/>
    <hyperlink ref="B8" location="Revenue!A1" display="💲  Revenue"/>
    <hyperlink ref="B11" location="Profitability!A1" display="📈  Profitability"/>
    <hyperlink ref="B14" location="Regional_Sales!A1" display="🌐  Regional Sales"/>
    <hyperlink ref="B17" location="Products!A1" display="📦  Products"/>
    <hyperlink ref="B20" r:id="rId2"/>
  </hyperlink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Revenue</vt:lpstr>
      <vt:lpstr>Profitability</vt:lpstr>
      <vt:lpstr>Regional_Sales</vt:lpstr>
      <vt:lpstr>Products</vt:lpstr>
      <vt:lpstr>Raw_Data</vt:lpstr>
      <vt:lpstr>Export_Report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2026-10-15T00:09:32Z</dcterms:created>
  <dcterms:modified xsi:type="dcterms:W3CDTF">2026-10-15T00:09:32Z</dcterms:modified>
</cp:coreProperties>
</file>